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E:\Desktop_F\paper_ACTUAL_15_05_2026\"/>
    </mc:Choice>
  </mc:AlternateContent>
  <xr:revisionPtr revIDLastSave="0" documentId="13_ncr:1_{5DE17357-7EE3-435E-B90B-4E02E71E6F98}" xr6:coauthVersionLast="47" xr6:coauthVersionMax="47" xr10:uidLastSave="{00000000-0000-0000-0000-000000000000}"/>
  <bookViews>
    <workbookView xWindow="-105" yWindow="0" windowWidth="19410" windowHeight="20985" xr2:uid="{DDF38CDF-E085-472F-8BE0-8BFD1436453C}"/>
  </bookViews>
  <sheets>
    <sheet name="OD_parallele_tubes" sheetId="6" r:id="rId1"/>
    <sheet name="SCFA_parallel_tubes_HPLC" sheetId="5" r:id="rId2"/>
    <sheet name="HPLC_raw_data" sheetId="2" r:id="rId3"/>
    <sheet name="HPLC_Standards" sheetId="1" r:id="rId4"/>
  </sheets>
  <calcPr calcId="191029" iterateDelta="1E-4"/>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9" i="2" l="1"/>
  <c r="I49" i="2"/>
  <c r="H49"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50" i="2"/>
  <c r="J51" i="2"/>
  <c r="J52" i="2"/>
  <c r="J53" i="2"/>
  <c r="J54" i="2"/>
  <c r="J55" i="2"/>
  <c r="J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50" i="2"/>
  <c r="I51" i="2"/>
  <c r="I52" i="2"/>
  <c r="I53" i="2"/>
  <c r="I54" i="2"/>
  <c r="I55" i="2"/>
  <c r="I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50" i="2"/>
  <c r="H51" i="2"/>
  <c r="H52" i="2"/>
  <c r="H53" i="2"/>
  <c r="H54" i="2"/>
  <c r="H55" i="2"/>
  <c r="H6" i="2"/>
</calcChain>
</file>

<file path=xl/sharedStrings.xml><?xml version="1.0" encoding="utf-8"?>
<sst xmlns="http://schemas.openxmlformats.org/spreadsheetml/2006/main" count="100" uniqueCount="37">
  <si>
    <t>Lactate</t>
  </si>
  <si>
    <t>Acetate</t>
  </si>
  <si>
    <t>Butyrate</t>
  </si>
  <si>
    <t>Height (nC)</t>
  </si>
  <si>
    <t>Strain</t>
  </si>
  <si>
    <t>Time (h)</t>
  </si>
  <si>
    <t>Co</t>
  </si>
  <si>
    <t>Lactate (nC)</t>
  </si>
  <si>
    <t>Acetate (nC)</t>
  </si>
  <si>
    <t>Butyrate (nC)</t>
  </si>
  <si>
    <t>Rep</t>
  </si>
  <si>
    <t>PT33</t>
  </si>
  <si>
    <t>HGF2</t>
  </si>
  <si>
    <t>Hour</t>
  </si>
  <si>
    <t>Concentration (mM)</t>
  </si>
  <si>
    <t>Lactate (mM)</t>
  </si>
  <si>
    <t>Acetate (mM)</t>
  </si>
  <si>
    <t>Butyrate (mM)</t>
  </si>
  <si>
    <t>Row Labels</t>
  </si>
  <si>
    <t>Grand Total</t>
  </si>
  <si>
    <t>Column Labels</t>
  </si>
  <si>
    <t>Average of Butyrate (mM)</t>
  </si>
  <si>
    <t>Time [h]</t>
  </si>
  <si>
    <t>C. innocuum HGF2 [OD620]</t>
  </si>
  <si>
    <t>B. animalis lactis PT33 [OD620]</t>
  </si>
  <si>
    <t>Co-culture [OD620]</t>
  </si>
  <si>
    <t>r1</t>
  </si>
  <si>
    <t>r2_failed_for_HGF2</t>
  </si>
  <si>
    <t>r2</t>
  </si>
  <si>
    <t xml:space="preserve">Supplementary Table S8 additional figure. Raw OD620 values and growth curves of parallel tubes used to monitor RNA-seq culture growth. Two parallel tubes (r1, r2) per condition. HGF2 r2 failed to enter exponential phase (highlighted in red) and was interpreted as a tube-specific manipulation problem rather than as evidence of variability among the RNA-seq cultures. The cause of this failure is unknown but is most consistent with a problem during inoculation of this specific tube, given that the parallel tubes for PT33 monoculture and co-culture (incubated and processed identically) grew concordantly. This interpretation is supported by the RNA-seq data, where the three biological replicates of HGF2 monoculture showed concordant transcriptional profiles between Time 1 (8 h) and Time 2 (45 h), including the induction of sporulation-associated genes at Time 2 characteristic of the stationary/transition phase in Clostridium spp. (see Figure 6B, PCA of HGF2 RNA-seq samples). This transcriptional progression of HGF2 monocultures confirms that the three sequenced cultures grew consistent with the growth pattern of parallel tube r1 and inconsistent with that of the failed parallel tube r2. To avoid confusion in the main figure, only r1 is shown in Figure 6A. Both plots display all replicates (r1, r2) parallel tubes for transparency, and r1 used in main text.  </t>
  </si>
  <si>
    <t>Abbrevations are PT33 = Bifidobacterium animalis lactis PT33; HGF2 = Clostridium sp. HGF2; Co = co-culture of Clostridium sp. HGF2 and Bifidobacterium animalis lactis PT33.</t>
  </si>
  <si>
    <t>"r2_failed_for_HGF2" means a failed biological replicate (for set1 of parallel tubes ) that did not start its exponential phase for HGF2-monoculture during parallel tube for growth measurements.</t>
  </si>
  <si>
    <t>This table shows, set1 of parallel tubes, anaerobic growth on mZMB 1% inulin-powder for mono-monoculture of Clostridium sp. HGF2 , mono-culture of Bifidobacterium animalis lactis PT33, and co-culture of  Clostridium sp. HGF2 with Bifidobacterium animalis lactis PT33 (measured with OD620 after mixing vigorously with vortex/pipetting). 2 parallel tubes were run at the same time (2 biological replicates). Samples were collected at 12 different times.</t>
  </si>
  <si>
    <t>This table shows, set2 of parallel tubes, HPLC averaged results for butyrate, acetate, and lactate during anaerobic growth on mZMB 1% inulin-powder for mono-monoculture of Clostridium sp. HGF2 , mono-culture of Bifidobacterium animalis lactis PT33, and co-culture of  Clostridium sp. HGF2 with Bifidobacterium animalis lactis PT33 (measured with OD620 after mixing vigorously with vortex/pipetting). 2 parallel tubes were run at the same time (2 biological replicates). Samples were collected at 10 different times.</t>
  </si>
  <si>
    <t>This table shows, set2 of parallel tubes, HPLC standard curves for butyrate, acetate, and lactate.</t>
  </si>
  <si>
    <t>This table shows, set2 of parallel tubes, HPLC results for butyrate, acetate, and lactate during anaerobic growth on mZMB 1% inulin-powder for mono-monoculture of Clostridium sp. HGF2 , mono-culture of Bifidobacterium animalis lactis PT33, and co-culture of  Clostridium sp. HGF2 with Bifidobacterium animalis lactis PT33 (measured with OD620 after mixing vigorously with vortex/pipetting). 2 parallel tubes were run at the same time (2 biological replicates). Samples were collected at 10 different times.</t>
  </si>
  <si>
    <t>Table S7: Parallel tubes OD620 (set1 of parallel tubes) &amp; HPLC of SCFA (set2 of parallel tubes) of HGF2 and PT33 co-, mono- cultures.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</si>
</sst>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006100"/>
      <name val="Aptos Narrow"/>
      <family val="2"/>
      <scheme val="minor"/>
    </font>
    <font>
      <sz val="11"/>
      <color rgb="FF9C0006"/>
      <name val="Aptos Narrow"/>
      <family val="2"/>
      <scheme val="minor"/>
    </font>
    <font>
      <sz val="14"/>
      <name val="Arial"/>
      <family val="2"/>
    </font>
    <font>
      <sz val="11"/>
      <color rgb="FF000000"/>
      <name val="Aptos Narrow"/>
      <family val="2"/>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theme="3" tint="0.89999084444715716"/>
        <bgColor indexed="64"/>
      </patternFill>
    </fill>
  </fills>
  <borders count="13">
    <border>
      <left/>
      <right/>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28">
    <xf numFmtId="0" fontId="0" fillId="0" borderId="0" xfId="0"/>
    <xf numFmtId="0" fontId="0" fillId="0" borderId="0" xfId="0" pivotButton="1"/>
    <xf numFmtId="0" fontId="0" fillId="0" borderId="0" xfId="0" applyAlignment="1">
      <alignment horizontal="left"/>
    </xf>
    <xf numFmtId="0" fontId="1" fillId="2" borderId="5" xfId="1" applyBorder="1" applyAlignment="1">
      <alignment horizontal="center" vertical="center"/>
    </xf>
    <xf numFmtId="0" fontId="2" fillId="3" borderId="6" xfId="2" applyBorder="1" applyAlignment="1">
      <alignment horizontal="center" vertical="center"/>
    </xf>
    <xf numFmtId="0" fontId="1" fillId="2" borderId="6" xfId="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0" xfId="0" applyAlignment="1">
      <alignment horizontal="center" vertical="center"/>
    </xf>
    <xf numFmtId="0" fontId="1" fillId="2" borderId="1" xfId="1" applyBorder="1" applyAlignment="1">
      <alignment horizontal="center" vertical="center"/>
    </xf>
    <xf numFmtId="0" fontId="1" fillId="2" borderId="4" xfId="1" applyBorder="1" applyAlignment="1">
      <alignment horizontal="center" vertical="center"/>
    </xf>
    <xf numFmtId="0" fontId="1" fillId="2" borderId="2" xfId="1" applyBorder="1" applyAlignment="1">
      <alignment horizontal="center" vertical="center"/>
    </xf>
    <xf numFmtId="0" fontId="1" fillId="2" borderId="3" xfId="1" applyBorder="1" applyAlignment="1">
      <alignment horizontal="center" vertical="center"/>
    </xf>
    <xf numFmtId="0" fontId="3" fillId="0" borderId="0" xfId="0" applyFont="1" applyAlignment="1">
      <alignment horizontal="left" vertical="top" wrapText="1"/>
    </xf>
    <xf numFmtId="0" fontId="4" fillId="0" borderId="0" xfId="0" applyFont="1"/>
    <xf numFmtId="0" fontId="4" fillId="0" borderId="0" xfId="0" applyFont="1" applyAlignment="1">
      <alignment horizontal="left"/>
    </xf>
    <xf numFmtId="0" fontId="0" fillId="0" borderId="0" xfId="0" applyAlignment="1">
      <alignment horizontal="left" vertical="center"/>
    </xf>
    <xf numFmtId="0" fontId="0" fillId="0" borderId="10" xfId="0" applyBorder="1" applyAlignment="1">
      <alignment horizontal="center"/>
    </xf>
    <xf numFmtId="0" fontId="0" fillId="0" borderId="10" xfId="0" applyBorder="1" applyAlignment="1">
      <alignment horizontal="center" vertical="center"/>
    </xf>
    <xf numFmtId="0" fontId="1" fillId="2" borderId="10" xfId="1" applyBorder="1" applyAlignment="1">
      <alignment horizontal="center"/>
    </xf>
    <xf numFmtId="0" fontId="1" fillId="2" borderId="11" xfId="1" applyBorder="1" applyAlignment="1">
      <alignment horizontal="center" vertical="center"/>
    </xf>
    <xf numFmtId="0" fontId="1" fillId="2" borderId="12" xfId="1" applyBorder="1" applyAlignment="1">
      <alignment horizontal="center" vertical="center"/>
    </xf>
    <xf numFmtId="0" fontId="1" fillId="2" borderId="10" xfId="1" applyBorder="1" applyAlignment="1">
      <alignment horizontal="center" vertical="center"/>
    </xf>
    <xf numFmtId="0" fontId="0" fillId="4" borderId="10" xfId="0" applyFill="1" applyBorder="1" applyAlignment="1">
      <alignment horizontal="center"/>
    </xf>
  </cellXfs>
  <cellStyles count="3">
    <cellStyle name="Bad" xfId="2" builtinId="27"/>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[Supplementary Table S7. Parallel tubes OD620 &amp; HPLC of SCFA of HGF2 and PT33 co-, mono- cultures.xlsx]SCFA_parallel_tubes_HPLC!PivotTable1</c:name>
    <c:fmtId val="4"/>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SCFA_parallel_tubes_HPLC!$B$5:$B$6</c:f>
              <c:strCache>
                <c:ptCount val="1"/>
                <c:pt idx="0">
                  <c:v>Co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SCFA_parallel_tubes_HPLC!$A$7:$A$17</c:f>
              <c:strCache>
                <c:ptCount val="10"/>
                <c:pt idx="0">
                  <c:v>0</c:v>
                </c:pt>
                <c:pt idx="1">
                  <c:v>2</c:v>
                </c:pt>
                <c:pt idx="2">
                  <c:v>4</c:v>
                </c:pt>
                <c:pt idx="3">
                  <c:v>6</c:v>
                </c:pt>
                <c:pt idx="4">
                  <c:v>8</c:v>
                </c:pt>
                <c:pt idx="5">
                  <c:v>23</c:v>
                </c:pt>
                <c:pt idx="6">
                  <c:v>32</c:v>
                </c:pt>
                <c:pt idx="7">
                  <c:v>43</c:v>
                </c:pt>
                <c:pt idx="8">
                  <c:v>47</c:v>
                </c:pt>
                <c:pt idx="9">
                  <c:v>49</c:v>
                </c:pt>
              </c:strCache>
            </c:strRef>
          </c:cat>
          <c:val>
            <c:numRef>
              <c:f>SCFA_parallel_tubes_HPLC!$B$7:$B$17</c:f>
              <c:numCache>
                <c:formatCode>General</c:formatCode>
                <c:ptCount val="10"/>
                <c:pt idx="0">
                  <c:v>3.6946958618376657E-2</c:v>
                </c:pt>
                <c:pt idx="1">
                  <c:v>-0.23483300472238025</c:v>
                </c:pt>
                <c:pt idx="2">
                  <c:v>0.42923641539648832</c:v>
                </c:pt>
                <c:pt idx="3">
                  <c:v>1.0041427231269586</c:v>
                </c:pt>
                <c:pt idx="4">
                  <c:v>1.0589961798704142</c:v>
                </c:pt>
                <c:pt idx="5">
                  <c:v>1.2201514433994709</c:v>
                </c:pt>
                <c:pt idx="6">
                  <c:v>1.4004130165979511</c:v>
                </c:pt>
                <c:pt idx="7">
                  <c:v>1.7205831660115507</c:v>
                </c:pt>
                <c:pt idx="9">
                  <c:v>-0.28939999999999999</c:v>
                </c:pt>
              </c:numCache>
            </c:numRef>
          </c:val>
          <c:smooth val="0"/>
          <c:extLst>
            <c:ext xmlns:c16="http://schemas.microsoft.com/office/drawing/2014/chart" uri="{C3380CC4-5D6E-409C-BE32-E72D297353CC}">
              <c16:uniqueId val="{00000000-3380-4E66-B909-8660494605E3}"/>
            </c:ext>
          </c:extLst>
        </c:ser>
        <c:ser>
          <c:idx val="1"/>
          <c:order val="1"/>
          <c:tx>
            <c:strRef>
              <c:f>SCFA_parallel_tubes_HPLC!$C$5:$C$6</c:f>
              <c:strCache>
                <c:ptCount val="1"/>
                <c:pt idx="0">
                  <c:v>HGF2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SCFA_parallel_tubes_HPLC!$A$7:$A$17</c:f>
              <c:strCache>
                <c:ptCount val="10"/>
                <c:pt idx="0">
                  <c:v>0</c:v>
                </c:pt>
                <c:pt idx="1">
                  <c:v>2</c:v>
                </c:pt>
                <c:pt idx="2">
                  <c:v>4</c:v>
                </c:pt>
                <c:pt idx="3">
                  <c:v>6</c:v>
                </c:pt>
                <c:pt idx="4">
                  <c:v>8</c:v>
                </c:pt>
                <c:pt idx="5">
                  <c:v>23</c:v>
                </c:pt>
                <c:pt idx="6">
                  <c:v>32</c:v>
                </c:pt>
                <c:pt idx="7">
                  <c:v>43</c:v>
                </c:pt>
                <c:pt idx="8">
                  <c:v>47</c:v>
                </c:pt>
                <c:pt idx="9">
                  <c:v>49</c:v>
                </c:pt>
              </c:strCache>
            </c:strRef>
          </c:cat>
          <c:val>
            <c:numRef>
              <c:f>SCFA_parallel_tubes_HPLC!$C$7:$C$17</c:f>
              <c:numCache>
                <c:formatCode>General</c:formatCode>
                <c:ptCount val="10"/>
                <c:pt idx="1">
                  <c:v>-0.28939999999999999</c:v>
                </c:pt>
                <c:pt idx="2">
                  <c:v>1.2463468959005493</c:v>
                </c:pt>
                <c:pt idx="3">
                  <c:v>1.0136972656414442</c:v>
                </c:pt>
                <c:pt idx="4">
                  <c:v>1.190347341990809</c:v>
                </c:pt>
                <c:pt idx="5">
                  <c:v>1.2763260370018727</c:v>
                </c:pt>
                <c:pt idx="6">
                  <c:v>3.3875509128122183</c:v>
                </c:pt>
                <c:pt idx="7">
                  <c:v>4.7380566509680762</c:v>
                </c:pt>
                <c:pt idx="8">
                  <c:v>1.9344375672865395</c:v>
                </c:pt>
                <c:pt idx="9">
                  <c:v>4.2666396951008352</c:v>
                </c:pt>
              </c:numCache>
            </c:numRef>
          </c:val>
          <c:smooth val="0"/>
          <c:extLst>
            <c:ext xmlns:c16="http://schemas.microsoft.com/office/drawing/2014/chart" uri="{C3380CC4-5D6E-409C-BE32-E72D297353CC}">
              <c16:uniqueId val="{00000001-3380-4E66-B909-8660494605E3}"/>
            </c:ext>
          </c:extLst>
        </c:ser>
        <c:ser>
          <c:idx val="2"/>
          <c:order val="2"/>
          <c:tx>
            <c:strRef>
              <c:f>SCFA_parallel_tubes_HPLC!$D$5:$D$6</c:f>
              <c:strCache>
                <c:ptCount val="1"/>
                <c:pt idx="0">
                  <c:v>PT33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SCFA_parallel_tubes_HPLC!$A$7:$A$17</c:f>
              <c:strCache>
                <c:ptCount val="10"/>
                <c:pt idx="0">
                  <c:v>0</c:v>
                </c:pt>
                <c:pt idx="1">
                  <c:v>2</c:v>
                </c:pt>
                <c:pt idx="2">
                  <c:v>4</c:v>
                </c:pt>
                <c:pt idx="3">
                  <c:v>6</c:v>
                </c:pt>
                <c:pt idx="4">
                  <c:v>8</c:v>
                </c:pt>
                <c:pt idx="5">
                  <c:v>23</c:v>
                </c:pt>
                <c:pt idx="6">
                  <c:v>32</c:v>
                </c:pt>
                <c:pt idx="7">
                  <c:v>43</c:v>
                </c:pt>
                <c:pt idx="8">
                  <c:v>47</c:v>
                </c:pt>
                <c:pt idx="9">
                  <c:v>49</c:v>
                </c:pt>
              </c:strCache>
            </c:strRef>
          </c:cat>
          <c:val>
            <c:numRef>
              <c:f>SCFA_parallel_tubes_HPLC!$D$7:$D$17</c:f>
              <c:numCache>
                <c:formatCode>General</c:formatCode>
                <c:ptCount val="10"/>
                <c:pt idx="1">
                  <c:v>-0.28939999999999999</c:v>
                </c:pt>
                <c:pt idx="2">
                  <c:v>-0.28939999999999999</c:v>
                </c:pt>
                <c:pt idx="3">
                  <c:v>-0.28939999999999999</c:v>
                </c:pt>
                <c:pt idx="4">
                  <c:v>-0.28939999999999999</c:v>
                </c:pt>
                <c:pt idx="5">
                  <c:v>-0.28939999999999999</c:v>
                </c:pt>
                <c:pt idx="6">
                  <c:v>-0.28939999999999999</c:v>
                </c:pt>
                <c:pt idx="7">
                  <c:v>-0.28939999999999999</c:v>
                </c:pt>
                <c:pt idx="9">
                  <c:v>-0.28939999999999999</c:v>
                </c:pt>
              </c:numCache>
            </c:numRef>
          </c:val>
          <c:smooth val="0"/>
          <c:extLst>
            <c:ext xmlns:c16="http://schemas.microsoft.com/office/drawing/2014/chart" uri="{C3380CC4-5D6E-409C-BE32-E72D297353CC}">
              <c16:uniqueId val="{00000002-3380-4E66-B909-8660494605E3}"/>
            </c:ext>
          </c:extLst>
        </c:ser>
        <c:dLbls>
          <c:showLegendKey val="0"/>
          <c:showVal val="0"/>
          <c:showCatName val="0"/>
          <c:showSerName val="0"/>
          <c:showPercent val="0"/>
          <c:showBubbleSize val="0"/>
        </c:dLbls>
        <c:marker val="1"/>
        <c:smooth val="0"/>
        <c:axId val="627783487"/>
        <c:axId val="627783967"/>
      </c:lineChart>
      <c:catAx>
        <c:axId val="62778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783967"/>
        <c:crosses val="autoZero"/>
        <c:auto val="1"/>
        <c:lblAlgn val="ctr"/>
        <c:lblOffset val="100"/>
        <c:noMultiLvlLbl val="0"/>
      </c:catAx>
      <c:valAx>
        <c:axId val="627783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78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Lactate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HPLC_Standards!$B$6</c:f>
              <c:strCache>
                <c:ptCount val="1"/>
                <c:pt idx="0">
                  <c:v>Concentration (mM)</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4.9206692913385829E-2"/>
                  <c:y val="-0.1671994440583738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HPLC_Standards!$A$7:$A$11</c:f>
              <c:numCache>
                <c:formatCode>General</c:formatCode>
                <c:ptCount val="5"/>
                <c:pt idx="0">
                  <c:v>94.920527724586464</c:v>
                </c:pt>
                <c:pt idx="1">
                  <c:v>47.933581486367721</c:v>
                </c:pt>
                <c:pt idx="2">
                  <c:v>23.999020940475926</c:v>
                </c:pt>
                <c:pt idx="3">
                  <c:v>12.030456392840053</c:v>
                </c:pt>
                <c:pt idx="4">
                  <c:v>6.0143776534138969</c:v>
                </c:pt>
              </c:numCache>
            </c:numRef>
          </c:xVal>
          <c:yVal>
            <c:numRef>
              <c:f>HPLC_Standards!$B$7:$B$11</c:f>
              <c:numCache>
                <c:formatCode>General</c:formatCode>
                <c:ptCount val="5"/>
                <c:pt idx="0">
                  <c:v>11.101243339253998</c:v>
                </c:pt>
                <c:pt idx="1">
                  <c:v>5.5506216696269988</c:v>
                </c:pt>
                <c:pt idx="2">
                  <c:v>2.7753108348134994</c:v>
                </c:pt>
                <c:pt idx="3">
                  <c:v>1.3876554174067497</c:v>
                </c:pt>
                <c:pt idx="4">
                  <c:v>0.69382770870337485</c:v>
                </c:pt>
              </c:numCache>
            </c:numRef>
          </c:yVal>
          <c:smooth val="0"/>
          <c:extLst>
            <c:ext xmlns:c16="http://schemas.microsoft.com/office/drawing/2014/chart" uri="{C3380CC4-5D6E-409C-BE32-E72D297353CC}">
              <c16:uniqueId val="{00000000-5F70-47E3-8993-94BF32B046B0}"/>
            </c:ext>
          </c:extLst>
        </c:ser>
        <c:dLbls>
          <c:showLegendKey val="0"/>
          <c:showVal val="0"/>
          <c:showCatName val="0"/>
          <c:showSerName val="0"/>
          <c:showPercent val="0"/>
          <c:showBubbleSize val="0"/>
        </c:dLbls>
        <c:axId val="1357562543"/>
        <c:axId val="1357561103"/>
      </c:scatterChart>
      <c:valAx>
        <c:axId val="1357562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561103"/>
        <c:crosses val="autoZero"/>
        <c:crossBetween val="midCat"/>
      </c:valAx>
      <c:valAx>
        <c:axId val="1357561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5625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Acetate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HPLC_Standards!$D$6</c:f>
              <c:strCache>
                <c:ptCount val="1"/>
                <c:pt idx="0">
                  <c:v>Concentration (mM)</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3.6737532808398948E-2"/>
                  <c:y val="-0.2054955778199719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HPLC_Standards!$C$7:$C$11</c:f>
              <c:numCache>
                <c:formatCode>General</c:formatCode>
                <c:ptCount val="5"/>
                <c:pt idx="0">
                  <c:v>112.13002060330827</c:v>
                </c:pt>
                <c:pt idx="1">
                  <c:v>55.094252885402661</c:v>
                </c:pt>
                <c:pt idx="2">
                  <c:v>27.654695925276929</c:v>
                </c:pt>
                <c:pt idx="3">
                  <c:v>13.875431201290933</c:v>
                </c:pt>
                <c:pt idx="4">
                  <c:v>6.9176437281059391</c:v>
                </c:pt>
              </c:numCache>
            </c:numRef>
          </c:xVal>
          <c:yVal>
            <c:numRef>
              <c:f>HPLC_Standards!$D$7:$D$11</c:f>
              <c:numCache>
                <c:formatCode>General</c:formatCode>
                <c:ptCount val="5"/>
                <c:pt idx="0">
                  <c:v>33.304469459801503</c:v>
                </c:pt>
                <c:pt idx="1">
                  <c:v>16.652234729900751</c:v>
                </c:pt>
                <c:pt idx="2">
                  <c:v>8.3261173649503757</c:v>
                </c:pt>
                <c:pt idx="3">
                  <c:v>4.1630586824751878</c:v>
                </c:pt>
                <c:pt idx="4">
                  <c:v>2.1647905148870978</c:v>
                </c:pt>
              </c:numCache>
            </c:numRef>
          </c:yVal>
          <c:smooth val="0"/>
          <c:extLst>
            <c:ext xmlns:c16="http://schemas.microsoft.com/office/drawing/2014/chart" uri="{C3380CC4-5D6E-409C-BE32-E72D297353CC}">
              <c16:uniqueId val="{00000000-076C-415A-B476-A38DBF7BC340}"/>
            </c:ext>
          </c:extLst>
        </c:ser>
        <c:dLbls>
          <c:showLegendKey val="0"/>
          <c:showVal val="0"/>
          <c:showCatName val="0"/>
          <c:showSerName val="0"/>
          <c:showPercent val="0"/>
          <c:showBubbleSize val="0"/>
        </c:dLbls>
        <c:axId val="197810688"/>
        <c:axId val="197800128"/>
      </c:scatterChart>
      <c:valAx>
        <c:axId val="197810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00128"/>
        <c:crosses val="autoZero"/>
        <c:crossBetween val="midCat"/>
      </c:valAx>
      <c:valAx>
        <c:axId val="197800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1068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Butyrate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HPLC_Standards!$F$6</c:f>
              <c:strCache>
                <c:ptCount val="1"/>
                <c:pt idx="0">
                  <c:v>Concentration (mM)</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9.6120734908136482E-2"/>
                  <c:y val="-0.2082879765203202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HPLC_Standards!$E$7:$E$11</c:f>
              <c:numCache>
                <c:formatCode>General</c:formatCode>
                <c:ptCount val="5"/>
                <c:pt idx="0">
                  <c:v>177.96980944701326</c:v>
                </c:pt>
                <c:pt idx="1">
                  <c:v>90.79735033840079</c:v>
                </c:pt>
                <c:pt idx="2">
                  <c:v>45.825925895588938</c:v>
                </c:pt>
                <c:pt idx="3">
                  <c:v>22.995765009528053</c:v>
                </c:pt>
                <c:pt idx="4">
                  <c:v>11.472613181136612</c:v>
                </c:pt>
              </c:numCache>
            </c:numRef>
          </c:xVal>
          <c:yVal>
            <c:numRef>
              <c:f>HPLC_Standards!$F$7:$F$11</c:f>
              <c:numCache>
                <c:formatCode>General</c:formatCode>
                <c:ptCount val="5"/>
                <c:pt idx="0">
                  <c:v>50</c:v>
                </c:pt>
                <c:pt idx="1">
                  <c:v>25</c:v>
                </c:pt>
                <c:pt idx="2">
                  <c:v>12.5</c:v>
                </c:pt>
                <c:pt idx="3">
                  <c:v>6.25</c:v>
                </c:pt>
                <c:pt idx="4">
                  <c:v>3.13</c:v>
                </c:pt>
              </c:numCache>
            </c:numRef>
          </c:yVal>
          <c:smooth val="0"/>
          <c:extLst>
            <c:ext xmlns:c16="http://schemas.microsoft.com/office/drawing/2014/chart" uri="{C3380CC4-5D6E-409C-BE32-E72D297353CC}">
              <c16:uniqueId val="{00000000-F74C-455C-9745-88179B3E4F8E}"/>
            </c:ext>
          </c:extLst>
        </c:ser>
        <c:dLbls>
          <c:showLegendKey val="0"/>
          <c:showVal val="0"/>
          <c:showCatName val="0"/>
          <c:showSerName val="0"/>
          <c:showPercent val="0"/>
          <c:showBubbleSize val="0"/>
        </c:dLbls>
        <c:axId val="242378256"/>
        <c:axId val="242379696"/>
      </c:scatterChart>
      <c:valAx>
        <c:axId val="242378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379696"/>
        <c:crosses val="autoZero"/>
        <c:crossBetween val="midCat"/>
      </c:valAx>
      <c:valAx>
        <c:axId val="242379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23782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876300</xdr:colOff>
      <xdr:row>20</xdr:row>
      <xdr:rowOff>47625</xdr:rowOff>
    </xdr:from>
    <xdr:to>
      <xdr:col>3</xdr:col>
      <xdr:colOff>520182</xdr:colOff>
      <xdr:row>34</xdr:row>
      <xdr:rowOff>8991</xdr:rowOff>
    </xdr:to>
    <xdr:pic>
      <xdr:nvPicPr>
        <xdr:cNvPr id="6" name="Picture 5">
          <a:extLst>
            <a:ext uri="{FF2B5EF4-FFF2-40B4-BE49-F238E27FC236}">
              <a16:creationId xmlns:a16="http://schemas.microsoft.com/office/drawing/2014/main" id="{DAD6E4E4-1F68-4097-9F0F-3CD620398909}"/>
            </a:ext>
          </a:extLst>
        </xdr:cNvPr>
        <xdr:cNvPicPr>
          <a:picLocks noChangeAspect="1"/>
        </xdr:cNvPicPr>
      </xdr:nvPicPr>
      <xdr:blipFill>
        <a:blip xmlns:r="http://schemas.openxmlformats.org/officeDocument/2006/relationships" r:embed="rId1"/>
        <a:stretch>
          <a:fillRect/>
        </a:stretch>
      </xdr:blipFill>
      <xdr:spPr>
        <a:xfrm>
          <a:off x="876300" y="3105150"/>
          <a:ext cx="4787382" cy="2628366"/>
        </a:xfrm>
        <a:prstGeom prst="rect">
          <a:avLst/>
        </a:prstGeom>
      </xdr:spPr>
    </xdr:pic>
    <xdr:clientData/>
  </xdr:twoCellAnchor>
  <xdr:twoCellAnchor>
    <xdr:from>
      <xdr:col>2</xdr:col>
      <xdr:colOff>1057275</xdr:colOff>
      <xdr:row>26</xdr:row>
      <xdr:rowOff>19050</xdr:rowOff>
    </xdr:from>
    <xdr:to>
      <xdr:col>3</xdr:col>
      <xdr:colOff>133350</xdr:colOff>
      <xdr:row>29</xdr:row>
      <xdr:rowOff>114300</xdr:rowOff>
    </xdr:to>
    <xdr:sp macro="" textlink="">
      <xdr:nvSpPr>
        <xdr:cNvPr id="8" name="TextBox 7">
          <a:extLst>
            <a:ext uri="{FF2B5EF4-FFF2-40B4-BE49-F238E27FC236}">
              <a16:creationId xmlns:a16="http://schemas.microsoft.com/office/drawing/2014/main" id="{FCB01C5C-02DF-443D-B777-7A8B74B42C8A}"/>
            </a:ext>
          </a:extLst>
        </xdr:cNvPr>
        <xdr:cNvSpPr txBox="1"/>
      </xdr:nvSpPr>
      <xdr:spPr>
        <a:xfrm>
          <a:off x="4486275" y="4219575"/>
          <a:ext cx="790575" cy="66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r1 and r2 replicates</a:t>
          </a:r>
        </a:p>
      </xdr:txBody>
    </xdr:sp>
    <xdr:clientData/>
  </xdr:twoCellAnchor>
  <xdr:twoCellAnchor editAs="oneCell">
    <xdr:from>
      <xdr:col>3</xdr:col>
      <xdr:colOff>1095375</xdr:colOff>
      <xdr:row>20</xdr:row>
      <xdr:rowOff>57150</xdr:rowOff>
    </xdr:from>
    <xdr:to>
      <xdr:col>6</xdr:col>
      <xdr:colOff>897485</xdr:colOff>
      <xdr:row>34</xdr:row>
      <xdr:rowOff>38099</xdr:rowOff>
    </xdr:to>
    <xdr:pic>
      <xdr:nvPicPr>
        <xdr:cNvPr id="9" name="Picture 8">
          <a:extLst>
            <a:ext uri="{FF2B5EF4-FFF2-40B4-BE49-F238E27FC236}">
              <a16:creationId xmlns:a16="http://schemas.microsoft.com/office/drawing/2014/main" id="{FAD9311A-6AB7-4F6C-AD1B-C33E115A3F6C}"/>
            </a:ext>
          </a:extLst>
        </xdr:cNvPr>
        <xdr:cNvPicPr>
          <a:picLocks noChangeAspect="1"/>
        </xdr:cNvPicPr>
      </xdr:nvPicPr>
      <xdr:blipFill>
        <a:blip xmlns:r="http://schemas.openxmlformats.org/officeDocument/2006/relationships" r:embed="rId2"/>
        <a:stretch>
          <a:fillRect/>
        </a:stretch>
      </xdr:blipFill>
      <xdr:spPr>
        <a:xfrm>
          <a:off x="6238875" y="3114675"/>
          <a:ext cx="4945610" cy="2647949"/>
        </a:xfrm>
        <a:prstGeom prst="rect">
          <a:avLst/>
        </a:prstGeom>
      </xdr:spPr>
    </xdr:pic>
    <xdr:clientData/>
  </xdr:twoCellAnchor>
  <xdr:twoCellAnchor>
    <xdr:from>
      <xdr:col>5</xdr:col>
      <xdr:colOff>1509497</xdr:colOff>
      <xdr:row>25</xdr:row>
      <xdr:rowOff>161925</xdr:rowOff>
    </xdr:from>
    <xdr:to>
      <xdr:col>6</xdr:col>
      <xdr:colOff>585572</xdr:colOff>
      <xdr:row>29</xdr:row>
      <xdr:rowOff>66675</xdr:rowOff>
    </xdr:to>
    <xdr:sp macro="" textlink="">
      <xdr:nvSpPr>
        <xdr:cNvPr id="10" name="TextBox 9">
          <a:extLst>
            <a:ext uri="{FF2B5EF4-FFF2-40B4-BE49-F238E27FC236}">
              <a16:creationId xmlns:a16="http://schemas.microsoft.com/office/drawing/2014/main" id="{AFB46F4D-8509-4496-8169-0002CE2CE2A6}"/>
            </a:ext>
          </a:extLst>
        </xdr:cNvPr>
        <xdr:cNvSpPr txBox="1"/>
      </xdr:nvSpPr>
      <xdr:spPr>
        <a:xfrm>
          <a:off x="10081997" y="4171950"/>
          <a:ext cx="790575" cy="66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r1 only replicates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342900</xdr:colOff>
      <xdr:row>8</xdr:row>
      <xdr:rowOff>156210</xdr:rowOff>
    </xdr:from>
    <xdr:to>
      <xdr:col>13</xdr:col>
      <xdr:colOff>38100</xdr:colOff>
      <xdr:row>23</xdr:row>
      <xdr:rowOff>156210</xdr:rowOff>
    </xdr:to>
    <xdr:graphicFrame macro="">
      <xdr:nvGraphicFramePr>
        <xdr:cNvPr id="3" name="Chart 1">
          <a:extLst>
            <a:ext uri="{FF2B5EF4-FFF2-40B4-BE49-F238E27FC236}">
              <a16:creationId xmlns:a16="http://schemas.microsoft.com/office/drawing/2014/main" id="{63C28F5F-9C7F-F645-6D3F-B4600378A7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360997</xdr:colOff>
      <xdr:row>13</xdr:row>
      <xdr:rowOff>76200</xdr:rowOff>
    </xdr:from>
    <xdr:to>
      <xdr:col>3</xdr:col>
      <xdr:colOff>789622</xdr:colOff>
      <xdr:row>28</xdr:row>
      <xdr:rowOff>102870</xdr:rowOff>
    </xdr:to>
    <xdr:graphicFrame macro="">
      <xdr:nvGraphicFramePr>
        <xdr:cNvPr id="3" name="Chart 2">
          <a:extLst>
            <a:ext uri="{FF2B5EF4-FFF2-40B4-BE49-F238E27FC236}">
              <a16:creationId xmlns:a16="http://schemas.microsoft.com/office/drawing/2014/main" id="{772D2A12-8FC6-7A90-BB06-714FAA9446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1180147</xdr:colOff>
      <xdr:row>13</xdr:row>
      <xdr:rowOff>79057</xdr:rowOff>
    </xdr:from>
    <xdr:to>
      <xdr:col>8</xdr:col>
      <xdr:colOff>389572</xdr:colOff>
      <xdr:row>28</xdr:row>
      <xdr:rowOff>115252</xdr:rowOff>
    </xdr:to>
    <xdr:graphicFrame macro="">
      <xdr:nvGraphicFramePr>
        <xdr:cNvPr id="4" name="Chart 3">
          <a:extLst>
            <a:ext uri="{FF2B5EF4-FFF2-40B4-BE49-F238E27FC236}">
              <a16:creationId xmlns:a16="http://schemas.microsoft.com/office/drawing/2014/main" id="{D1F3A582-1885-AA99-FBBC-0DB2503138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94297</xdr:colOff>
      <xdr:row>13</xdr:row>
      <xdr:rowOff>79057</xdr:rowOff>
    </xdr:from>
    <xdr:to>
      <xdr:col>16</xdr:col>
      <xdr:colOff>399097</xdr:colOff>
      <xdr:row>28</xdr:row>
      <xdr:rowOff>105727</xdr:rowOff>
    </xdr:to>
    <xdr:graphicFrame macro="">
      <xdr:nvGraphicFramePr>
        <xdr:cNvPr id="5" name="Chart 4">
          <a:extLst>
            <a:ext uri="{FF2B5EF4-FFF2-40B4-BE49-F238E27FC236}">
              <a16:creationId xmlns:a16="http://schemas.microsoft.com/office/drawing/2014/main" id="{E8D7DBB4-54E4-FC8C-FC41-09BCA5BB5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ron, Giselle - REE-ARS" refreshedDate="46127.340920254632" createdVersion="8" refreshedVersion="8" minRefreshableVersion="3" recordCount="50" xr:uid="{31E34904-7D57-43BA-9AF1-AA01585CD7E2}">
  <cacheSource type="worksheet">
    <worksheetSource ref="A5:J55" sheet="HPLC_raw_data"/>
  </cacheSource>
  <cacheFields count="10">
    <cacheField name="Strain" numFmtId="0">
      <sharedItems count="3">
        <s v="Co"/>
        <s v="PT33"/>
        <s v="HGF2"/>
      </sharedItems>
    </cacheField>
    <cacheField name="Hour" numFmtId="0">
      <sharedItems containsSemiMixedTypes="0" containsString="0" containsNumber="1" containsInteger="1" minValue="0" maxValue="14"/>
    </cacheField>
    <cacheField name="Time (h)" numFmtId="0">
      <sharedItems containsSemiMixedTypes="0" containsString="0" containsNumber="1" containsInteger="1" minValue="0" maxValue="49" count="10">
        <n v="0"/>
        <n v="2"/>
        <n v="4"/>
        <n v="6"/>
        <n v="8"/>
        <n v="23"/>
        <n v="32"/>
        <n v="43"/>
        <n v="47"/>
        <n v="49"/>
      </sharedItems>
    </cacheField>
    <cacheField name="Rep" numFmtId="0">
      <sharedItems containsSemiMixedTypes="0" containsString="0" containsNumber="1" containsInteger="1" minValue="1" maxValue="2"/>
    </cacheField>
    <cacheField name="Lactate (nC)" numFmtId="0">
      <sharedItems containsSemiMixedTypes="0" containsString="0" containsNumber="1" minValue="0" maxValue="43.501574519090923"/>
    </cacheField>
    <cacheField name="Acetate (nC)" numFmtId="0">
      <sharedItems containsSemiMixedTypes="0" containsString="0" containsNumber="1" minValue="20.901042047093021" maxValue="112.79405930918783"/>
    </cacheField>
    <cacheField name="Butyrate (nC)" numFmtId="0">
      <sharedItems containsSemiMixedTypes="0" containsString="0" containsNumber="1" minValue="0" maxValue="25.928627643759071"/>
    </cacheField>
    <cacheField name="Lactate (mM)" numFmtId="0">
      <sharedItems containsSemiMixedTypes="0" containsString="0" containsNumber="1" minValue="-2.7300000000000001E-2" maxValue="5.0667343761855461"/>
    </cacheField>
    <cacheField name="Acetate (mM)" numFmtId="0">
      <sharedItems containsSemiMixedTypes="0" containsString="0" containsNumber="1" minValue="6.32835896696308" maxValue="33.574638585174192"/>
    </cacheField>
    <cacheField name="Butyrate (mM)" numFmtId="0">
      <sharedItems containsSemiMixedTypes="0" containsString="0" containsNumber="1" minValue="-0.28939999999999999" maxValue="7.014694407246930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n v="0"/>
    <x v="0"/>
    <n v="1"/>
    <n v="0"/>
    <n v="31.413050024640526"/>
    <n v="1.1584911559047804"/>
    <n v="-2.7300000000000001E-2"/>
    <n v="9.445169332305916"/>
    <n v="3.6946958618376657E-2"/>
  </r>
  <r>
    <x v="0"/>
    <n v="1"/>
    <x v="1"/>
    <n v="1"/>
    <n v="0"/>
    <n v="30.288490811351934"/>
    <n v="0"/>
    <n v="-2.7300000000000001E-2"/>
    <n v="9.1117375255658484"/>
    <n v="-0.28939999999999999"/>
  </r>
  <r>
    <x v="0"/>
    <n v="1"/>
    <x v="1"/>
    <n v="2"/>
    <n v="0"/>
    <n v="29.323552292038215"/>
    <n v="0.38741210704735352"/>
    <n v="-2.7300000000000001E-2"/>
    <n v="8.8256332545893308"/>
    <n v="-0.18026600944476051"/>
  </r>
  <r>
    <x v="1"/>
    <n v="1"/>
    <x v="1"/>
    <n v="1"/>
    <n v="0"/>
    <n v="26.023049491413047"/>
    <n v="0"/>
    <n v="-2.7300000000000001E-2"/>
    <n v="7.8470341742039675"/>
    <n v="-0.28939999999999999"/>
  </r>
  <r>
    <x v="1"/>
    <n v="1"/>
    <x v="1"/>
    <n v="2"/>
    <n v="0"/>
    <n v="26.11395819982647"/>
    <n v="0"/>
    <n v="-2.7300000000000001E-2"/>
    <n v="7.873988606248548"/>
    <n v="-0.28939999999999999"/>
  </r>
  <r>
    <x v="2"/>
    <n v="1"/>
    <x v="1"/>
    <n v="1"/>
    <n v="0"/>
    <n v="21.845922473907294"/>
    <n v="0"/>
    <n v="-2.7300000000000001E-2"/>
    <n v="6.6085160135135119"/>
    <n v="-0.28939999999999999"/>
  </r>
  <r>
    <x v="2"/>
    <n v="1"/>
    <x v="1"/>
    <n v="2"/>
    <n v="0"/>
    <n v="21.725013738325998"/>
    <n v="0"/>
    <n v="-2.7300000000000001E-2"/>
    <n v="6.5726665734136578"/>
    <n v="-0.28939999999999999"/>
  </r>
  <r>
    <x v="0"/>
    <n v="2"/>
    <x v="2"/>
    <n v="1"/>
    <n v="0"/>
    <n v="33.637413983086432"/>
    <n v="5.1021399744159623"/>
    <n v="-2.7300000000000001E-2"/>
    <n v="10.104693245985127"/>
    <n v="1.1478728307929766"/>
  </r>
  <r>
    <x v="0"/>
    <n v="2"/>
    <x v="2"/>
    <n v="2"/>
    <n v="0"/>
    <n v="33.700950910901625"/>
    <n v="0"/>
    <n v="-2.7300000000000001E-2"/>
    <n v="10.12353194508233"/>
    <n v="-0.28939999999999999"/>
  </r>
  <r>
    <x v="1"/>
    <n v="2"/>
    <x v="2"/>
    <n v="1"/>
    <n v="0"/>
    <n v="31.031245838860769"/>
    <n v="0"/>
    <n v="-2.7300000000000001E-2"/>
    <n v="9.3319643912222183"/>
    <n v="-0.28939999999999999"/>
  </r>
  <r>
    <x v="1"/>
    <n v="2"/>
    <x v="2"/>
    <n v="2"/>
    <n v="0"/>
    <n v="31.200108663214294"/>
    <n v="0"/>
    <n v="-2.7300000000000001E-2"/>
    <n v="9.3820322186430367"/>
    <n v="-0.28939999999999999"/>
  </r>
  <r>
    <x v="2"/>
    <n v="2"/>
    <x v="2"/>
    <n v="1"/>
    <n v="0"/>
    <n v="21.694582620000006"/>
    <n v="5.6744612427333578"/>
    <n v="-2.7300000000000001E-2"/>
    <n v="6.5636437468300013"/>
    <n v="1.3090957320779868"/>
  </r>
  <r>
    <x v="2"/>
    <n v="2"/>
    <x v="2"/>
    <n v="2"/>
    <n v="0"/>
    <n v="21.347459032185441"/>
    <n v="5.2289600984136015"/>
    <n v="-2.7300000000000001E-2"/>
    <n v="6.460721603042983"/>
    <n v="1.1835980597231117"/>
  </r>
  <r>
    <x v="0"/>
    <n v="3"/>
    <x v="3"/>
    <n v="1"/>
    <n v="9.0760588565354254"/>
    <n v="67.030689510950708"/>
    <n v="4.587716940335433"/>
    <n v="1.0355064921002981"/>
    <n v="20.005799439996885"/>
    <n v="1.0029598620924913"/>
  </r>
  <r>
    <x v="0"/>
    <n v="3"/>
    <x v="3"/>
    <n v="2"/>
    <n v="9.536559077176463"/>
    <n v="67.883677103697181"/>
    <n v="4.596114959749471"/>
    <n v="1.0894310679373638"/>
    <n v="20.258710261246215"/>
    <n v="1.0053255841614259"/>
  </r>
  <r>
    <x v="1"/>
    <n v="3"/>
    <x v="3"/>
    <n v="1"/>
    <n v="6.9652335544255379"/>
    <n v="61.04436083033869"/>
    <n v="0"/>
    <n v="0.78832884922323043"/>
    <n v="18.230852986195419"/>
    <n v="-0.28939999999999999"/>
  </r>
  <r>
    <x v="1"/>
    <n v="3"/>
    <x v="3"/>
    <n v="2"/>
    <n v="5.8602395739075632"/>
    <n v="63.909900808162178"/>
    <n v="0"/>
    <n v="0.65893405410457562"/>
    <n v="19.080485589620086"/>
    <n v="-0.28939999999999999"/>
  </r>
  <r>
    <x v="2"/>
    <n v="3"/>
    <x v="3"/>
    <n v="1"/>
    <n v="0"/>
    <n v="37.854342677749997"/>
    <n v="4.9722809902109688"/>
    <n v="-2.7300000000000001E-2"/>
    <n v="11.355012603952874"/>
    <n v="1.1112915549424298"/>
  </r>
  <r>
    <x v="2"/>
    <n v="3"/>
    <x v="3"/>
    <n v="2"/>
    <n v="26.839044100663827"/>
    <n v="36.166146402831544"/>
    <n v="4.2793857875060652"/>
    <n v="3.1155520641877343"/>
    <n v="10.854462408439552"/>
    <n v="0.91610297634045856"/>
  </r>
  <r>
    <x v="0"/>
    <n v="4"/>
    <x v="4"/>
    <n v="1"/>
    <n v="9.7329668760384607"/>
    <n v="68.085022961017543"/>
    <n v="4.8083059088773368"/>
    <n v="1.1124304211841036"/>
    <n v="20.3184093079417"/>
    <n v="1.0650997745307458"/>
  </r>
  <r>
    <x v="0"/>
    <n v="4"/>
    <x v="4"/>
    <n v="2"/>
    <n v="9.5690868170992331"/>
    <n v="67.995515813274977"/>
    <n v="4.7649719034791715"/>
    <n v="1.0932400662823201"/>
    <n v="20.291870438636028"/>
    <n v="1.0528925852100826"/>
  </r>
  <r>
    <x v="1"/>
    <n v="4"/>
    <x v="4"/>
    <n v="1"/>
    <n v="7.4203340175206449"/>
    <n v="62.965707271637001"/>
    <n v="0"/>
    <n v="0.84162111345166746"/>
    <n v="18.800532206040369"/>
    <n v="-0.28939999999999999"/>
  </r>
  <r>
    <x v="1"/>
    <n v="4"/>
    <x v="4"/>
    <n v="2"/>
    <n v="7.7280745579668064"/>
    <n v="62.934702180374344"/>
    <n v="0"/>
    <n v="0.87765753073791297"/>
    <n v="18.79133919648099"/>
    <n v="-0.28939999999999999"/>
  </r>
  <r>
    <x v="2"/>
    <n v="4"/>
    <x v="4"/>
    <n v="1"/>
    <n v="0"/>
    <n v="37.872802927243249"/>
    <n v="5.3569947904081658"/>
    <n v="-2.7300000000000001E-2"/>
    <n v="11.360486067927622"/>
    <n v="1.2196654324579805"/>
  </r>
  <r>
    <x v="2"/>
    <n v="4"/>
    <x v="4"/>
    <n v="2"/>
    <n v="0"/>
    <n v="36.033625196229508"/>
    <n v="5.1488436333817447"/>
    <n v="-2.7300000000000001E-2"/>
    <n v="10.815169870682048"/>
    <n v="1.1610292515236376"/>
  </r>
  <r>
    <x v="0"/>
    <n v="5"/>
    <x v="5"/>
    <n v="1"/>
    <n v="11.109960076037737"/>
    <n v="72.687937077257118"/>
    <n v="5.3856980112273618"/>
    <n v="1.2736763249040188"/>
    <n v="21.683173343406732"/>
    <n v="1.2277511297627477"/>
  </r>
  <r>
    <x v="0"/>
    <n v="5"/>
    <x v="5"/>
    <n v="2"/>
    <n v="11.397661380786516"/>
    <n v="72.094255344745164"/>
    <n v="5.3317421265040608"/>
    <n v="1.3073661476901008"/>
    <n v="21.507146709716938"/>
    <n v="1.2125517570361941"/>
  </r>
  <r>
    <x v="1"/>
    <n v="5"/>
    <x v="5"/>
    <n v="1"/>
    <n v="8.9924775251612914"/>
    <n v="65.057427654876335"/>
    <n v="0"/>
    <n v="1.0257191181963872"/>
    <n v="19.420727299670833"/>
    <n v="-0.28939999999999999"/>
  </r>
  <r>
    <x v="1"/>
    <n v="5"/>
    <x v="5"/>
    <n v="2"/>
    <n v="9.1335001693117306"/>
    <n v="64.585634732345667"/>
    <n v="0"/>
    <n v="1.0422328698264036"/>
    <n v="19.280840698140491"/>
    <n v="-0.28939999999999999"/>
  </r>
  <r>
    <x v="2"/>
    <n v="5"/>
    <x v="5"/>
    <n v="1"/>
    <n v="0"/>
    <n v="38.268761631382411"/>
    <n v="5.5736536574950364"/>
    <n v="-2.7300000000000001E-2"/>
    <n v="11.477887823704885"/>
    <n v="1.2806982353163519"/>
  </r>
  <r>
    <x v="2"/>
    <n v="5"/>
    <x v="5"/>
    <n v="2"/>
    <n v="0"/>
    <n v="36.215375299599998"/>
    <n v="5.5426121359154905"/>
    <n v="-2.7300000000000001E-2"/>
    <n v="10.869058776331398"/>
    <n v="1.2719538386873936"/>
  </r>
  <r>
    <x v="0"/>
    <n v="9"/>
    <x v="6"/>
    <n v="1"/>
    <n v="15.284095373485343"/>
    <n v="82.87746126072166"/>
    <n v="5.9681188167766948"/>
    <n v="1.7624675682351334"/>
    <n v="24.70436726380397"/>
    <n v="1.3918190706859948"/>
  </r>
  <r>
    <x v="0"/>
    <n v="9"/>
    <x v="6"/>
    <n v="2"/>
    <n v="15.283449539276305"/>
    <n v="82.530476383562814"/>
    <n v="6.029133697230769"/>
    <n v="1.762391941049255"/>
    <n v="24.601486247726374"/>
    <n v="1.4090069625099075"/>
  </r>
  <r>
    <x v="1"/>
    <n v="9"/>
    <x v="6"/>
    <n v="1"/>
    <n v="15.001234875365853"/>
    <n v="89.875188636901896"/>
    <n v="0"/>
    <n v="1.7293446039053413"/>
    <n v="26.77919343084141"/>
    <n v="-0.28939999999999999"/>
  </r>
  <r>
    <x v="1"/>
    <n v="9"/>
    <x v="6"/>
    <n v="2"/>
    <n v="15.333389031538474"/>
    <n v="90.208788526678205"/>
    <n v="0"/>
    <n v="1.7682398555931551"/>
    <n v="26.878105798160085"/>
    <n v="-0.28939999999999999"/>
  </r>
  <r>
    <x v="2"/>
    <n v="9"/>
    <x v="6"/>
    <n v="1"/>
    <n v="3.3572503339776603"/>
    <n v="31.71729018095057"/>
    <n v="9.7472488124216028"/>
    <n v="0.36583401410878402"/>
    <n v="9.5353765386518425"/>
    <n v="2.4563999904591656"/>
  </r>
  <r>
    <x v="2"/>
    <n v="9"/>
    <x v="6"/>
    <n v="2"/>
    <n v="23.662308525421693"/>
    <n v="25.597579429696964"/>
    <n v="16.358188978222472"/>
    <n v="2.7435563283268802"/>
    <n v="7.7208823009051493"/>
    <n v="4.3187018351652711"/>
  </r>
  <r>
    <x v="0"/>
    <n v="11"/>
    <x v="7"/>
    <n v="1"/>
    <n v="16.892246928430026"/>
    <n v="87.525673051725349"/>
    <n v="7.1961870281096338"/>
    <n v="1.9507821153191558"/>
    <n v="26.082562059836565"/>
    <n v="1.7377658858184839"/>
  </r>
  <r>
    <x v="0"/>
    <n v="11"/>
    <x v="7"/>
    <n v="2"/>
    <n v="19.52085278572018"/>
    <n v="86.755412720723115"/>
    <n v="7.0741939872368391"/>
    <n v="2.2585918612078331"/>
    <n v="25.854179871694402"/>
    <n v="1.7034004462046175"/>
  </r>
  <r>
    <x v="1"/>
    <n v="11"/>
    <x v="7"/>
    <n v="1"/>
    <n v="17.887384500755388"/>
    <n v="89.68767609320625"/>
    <n v="0"/>
    <n v="2.0673127250384562"/>
    <n v="26.723595961635652"/>
    <n v="-0.28939999999999999"/>
  </r>
  <r>
    <x v="1"/>
    <n v="11"/>
    <x v="7"/>
    <n v="2"/>
    <n v="18.29241136964157"/>
    <n v="90.734507617999981"/>
    <n v="0"/>
    <n v="2.114741371385028"/>
    <n v="27.033981508736993"/>
    <n v="-0.28939999999999999"/>
  </r>
  <r>
    <x v="2"/>
    <n v="11"/>
    <x v="7"/>
    <n v="1"/>
    <n v="3.7618462459330146"/>
    <n v="34.948508939334587"/>
    <n v="11.946688121630253"/>
    <n v="0.41321219539875603"/>
    <n v="10.493432900512705"/>
    <n v="3.0759820438632421"/>
  </r>
  <r>
    <x v="2"/>
    <n v="11"/>
    <x v="7"/>
    <n v="2"/>
    <n v="43.501574519090923"/>
    <n v="20.901042047093021"/>
    <n v="23.747004820990092"/>
    <n v="5.0667343761855461"/>
    <n v="6.32835896696308"/>
    <n v="6.4001312580729097"/>
  </r>
  <r>
    <x v="2"/>
    <n v="13"/>
    <x v="8"/>
    <n v="1"/>
    <n v="0"/>
    <n v="50.283156109738314"/>
    <n v="7.8943470617200546"/>
    <n v="-2.7300000000000001E-2"/>
    <n v="15.04015578653741"/>
    <n v="1.9344375672865395"/>
  </r>
  <r>
    <x v="0"/>
    <n v="14"/>
    <x v="9"/>
    <n v="1"/>
    <n v="25.938360416562489"/>
    <n v="69.585882912053563"/>
    <n v="0"/>
    <n v="3.0100820047794676"/>
    <n v="20.763414283423881"/>
    <n v="-0.28939999999999999"/>
  </r>
  <r>
    <x v="0"/>
    <n v="14"/>
    <x v="9"/>
    <n v="2"/>
    <n v="31.930980891766566"/>
    <n v="108.4716249403215"/>
    <n v="0"/>
    <n v="3.7118178624258649"/>
    <n v="32.293036794805325"/>
    <n v="-0.28939999999999999"/>
  </r>
  <r>
    <x v="1"/>
    <n v="14"/>
    <x v="9"/>
    <n v="1"/>
    <n v="31.492927861125395"/>
    <n v="112.79405930918783"/>
    <n v="0"/>
    <n v="3.6605218525377836"/>
    <n v="33.574638585174192"/>
    <n v="-0.28939999999999999"/>
  </r>
  <r>
    <x v="1"/>
    <n v="14"/>
    <x v="9"/>
    <n v="2"/>
    <n v="29.442403077412109"/>
    <n v="96.50653369715738"/>
    <n v="0"/>
    <n v="3.4204054003649578"/>
    <n v="28.745387241207162"/>
    <n v="-0.28939999999999999"/>
  </r>
  <r>
    <x v="2"/>
    <n v="14"/>
    <x v="9"/>
    <n v="1"/>
    <n v="0.7192844077022329"/>
    <n v="21.553668341379307"/>
    <n v="25.928627643759071"/>
    <n v="5.6928204141931463E-2"/>
    <n v="6.5218626632189638"/>
    <n v="7.0146944072469308"/>
  </r>
  <r>
    <x v="2"/>
    <n v="14"/>
    <x v="9"/>
    <n v="2"/>
    <n v="0"/>
    <n v="29.279321818229931"/>
    <n v="6.4181220552173919"/>
    <n v="-2.7300000000000001E-2"/>
    <n v="8.8125189191051732"/>
    <n v="1.51858498295473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47C4AB-3DBB-4D6C-85A6-BFE22B39632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E17" firstHeaderRow="1" firstDataRow="2" firstDataCol="1"/>
  <pivotFields count="10">
    <pivotField axis="axisCol" showAll="0">
      <items count="4">
        <item x="0"/>
        <item x="2"/>
        <item x="1"/>
        <item t="default"/>
      </items>
    </pivotField>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dataField="1" showAll="0"/>
  </pivotFields>
  <rowFields count="1">
    <field x="2"/>
  </rowFields>
  <rowItems count="11">
    <i>
      <x/>
    </i>
    <i>
      <x v="1"/>
    </i>
    <i>
      <x v="2"/>
    </i>
    <i>
      <x v="3"/>
    </i>
    <i>
      <x v="4"/>
    </i>
    <i>
      <x v="5"/>
    </i>
    <i>
      <x v="6"/>
    </i>
    <i>
      <x v="7"/>
    </i>
    <i>
      <x v="8"/>
    </i>
    <i>
      <x v="9"/>
    </i>
    <i t="grand">
      <x/>
    </i>
  </rowItems>
  <colFields count="1">
    <field x="0"/>
  </colFields>
  <colItems count="4">
    <i>
      <x/>
    </i>
    <i>
      <x v="1"/>
    </i>
    <i>
      <x v="2"/>
    </i>
    <i t="grand">
      <x/>
    </i>
  </colItems>
  <dataFields count="1">
    <dataField name="Average of Butyrate (mM)" fld="9" subtotal="average" baseField="2" baseItem="0"/>
  </dataFields>
  <chartFormats count="3">
    <chartFormat chart="4" format="0" series="1">
      <pivotArea type="data" outline="0" fieldPosition="0">
        <references count="2">
          <reference field="4294967294" count="1" selected="0">
            <x v="0"/>
          </reference>
          <reference field="0" count="1" selected="0">
            <x v="0"/>
          </reference>
        </references>
      </pivotArea>
    </chartFormat>
    <chartFormat chart="4" format="1" series="1">
      <pivotArea type="data" outline="0" fieldPosition="0">
        <references count="2">
          <reference field="4294967294" count="1" selected="0">
            <x v="0"/>
          </reference>
          <reference field="0" count="1" selected="0">
            <x v="1"/>
          </reference>
        </references>
      </pivotArea>
    </chartFormat>
    <chartFormat chart="4" format="2"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EF0B7-FACE-4374-81CB-9377EC869C4A}">
  <dimension ref="A1:G57"/>
  <sheetViews>
    <sheetView tabSelected="1" workbookViewId="0"/>
  </sheetViews>
  <sheetFormatPr defaultRowHeight="15" x14ac:dyDescent="0.25"/>
  <cols>
    <col min="1" max="7" width="25.7109375" style="12" customWidth="1"/>
  </cols>
  <sheetData>
    <row r="1" spans="1:7" x14ac:dyDescent="0.25">
      <c r="A1" s="19" t="s">
        <v>36</v>
      </c>
    </row>
    <row r="2" spans="1:7" x14ac:dyDescent="0.25">
      <c r="A2" s="20" t="s">
        <v>32</v>
      </c>
    </row>
    <row r="3" spans="1:7" x14ac:dyDescent="0.25">
      <c r="A3" s="20" t="s">
        <v>31</v>
      </c>
    </row>
    <row r="4" spans="1:7" ht="15.75" thickBot="1" x14ac:dyDescent="0.3"/>
    <row r="5" spans="1:7" x14ac:dyDescent="0.25">
      <c r="A5" s="13" t="s">
        <v>22</v>
      </c>
      <c r="B5" s="15" t="s">
        <v>23</v>
      </c>
      <c r="C5" s="16"/>
      <c r="D5" s="15" t="s">
        <v>24</v>
      </c>
      <c r="E5" s="16"/>
      <c r="F5" s="15" t="s">
        <v>25</v>
      </c>
      <c r="G5" s="16"/>
    </row>
    <row r="6" spans="1:7" x14ac:dyDescent="0.25">
      <c r="A6" s="14"/>
      <c r="B6" s="3" t="s">
        <v>26</v>
      </c>
      <c r="C6" s="4" t="s">
        <v>27</v>
      </c>
      <c r="D6" s="3" t="s">
        <v>26</v>
      </c>
      <c r="E6" s="5" t="s">
        <v>28</v>
      </c>
      <c r="F6" s="3" t="s">
        <v>26</v>
      </c>
      <c r="G6" s="5" t="s">
        <v>28</v>
      </c>
    </row>
    <row r="7" spans="1:7" x14ac:dyDescent="0.25">
      <c r="A7" s="6">
        <v>0</v>
      </c>
      <c r="B7" s="7">
        <v>7.4999999999999997E-2</v>
      </c>
      <c r="C7" s="8">
        <v>7.4999999999999997E-2</v>
      </c>
      <c r="D7" s="7">
        <v>8.2000000000000003E-2</v>
      </c>
      <c r="E7" s="8">
        <v>8.2000000000000003E-2</v>
      </c>
      <c r="F7" s="7">
        <v>9.5333000000000001E-2</v>
      </c>
      <c r="G7" s="8">
        <v>9.5333000000000001E-2</v>
      </c>
    </row>
    <row r="8" spans="1:7" x14ac:dyDescent="0.25">
      <c r="A8" s="6">
        <v>2</v>
      </c>
      <c r="B8" s="7">
        <v>7.8E-2</v>
      </c>
      <c r="C8" s="8">
        <v>8.2000000000000003E-2</v>
      </c>
      <c r="D8" s="7">
        <v>0.128</v>
      </c>
      <c r="E8" s="8">
        <v>0.122</v>
      </c>
      <c r="F8" s="7">
        <v>0.14000000000000001</v>
      </c>
      <c r="G8" s="8">
        <v>0.151</v>
      </c>
    </row>
    <row r="9" spans="1:7" x14ac:dyDescent="0.25">
      <c r="A9" s="6">
        <v>4</v>
      </c>
      <c r="B9" s="7">
        <v>7.6999999999999999E-2</v>
      </c>
      <c r="C9" s="8">
        <v>7.6999999999999999E-2</v>
      </c>
      <c r="D9" s="7">
        <v>0.187</v>
      </c>
      <c r="E9" s="8">
        <v>0.16900000000000001</v>
      </c>
      <c r="F9" s="7">
        <v>0.2</v>
      </c>
      <c r="G9" s="8">
        <v>0.19600000000000001</v>
      </c>
    </row>
    <row r="10" spans="1:7" x14ac:dyDescent="0.25">
      <c r="A10" s="6">
        <v>6</v>
      </c>
      <c r="B10" s="7">
        <v>9.0999999999999998E-2</v>
      </c>
      <c r="C10" s="8">
        <v>7.8E-2</v>
      </c>
      <c r="D10" s="7">
        <v>0.24099999999999999</v>
      </c>
      <c r="E10" s="8">
        <v>0.219</v>
      </c>
      <c r="F10" s="7">
        <v>0.317</v>
      </c>
      <c r="G10" s="8">
        <v>0.247</v>
      </c>
    </row>
    <row r="11" spans="1:7" x14ac:dyDescent="0.25">
      <c r="A11" s="6">
        <v>8</v>
      </c>
      <c r="B11" s="7">
        <v>0.126</v>
      </c>
      <c r="C11" s="8">
        <v>7.6999999999999999E-2</v>
      </c>
      <c r="D11" s="7">
        <v>0.26100000000000001</v>
      </c>
      <c r="E11" s="8">
        <v>0.23699999999999999</v>
      </c>
      <c r="F11" s="7">
        <v>0.41399999999999998</v>
      </c>
      <c r="G11" s="8">
        <v>0.27900000000000003</v>
      </c>
    </row>
    <row r="12" spans="1:7" x14ac:dyDescent="0.25">
      <c r="A12" s="6">
        <v>32</v>
      </c>
      <c r="B12" s="7">
        <v>0.27600000000000002</v>
      </c>
      <c r="C12" s="8">
        <v>0.26500000000000001</v>
      </c>
      <c r="D12" s="7">
        <v>0.45</v>
      </c>
      <c r="E12" s="8">
        <v>0.59399999999999997</v>
      </c>
      <c r="F12" s="7">
        <v>0.75</v>
      </c>
      <c r="G12" s="8">
        <v>0.63900000000000001</v>
      </c>
    </row>
    <row r="13" spans="1:7" x14ac:dyDescent="0.25">
      <c r="A13" s="6">
        <v>35</v>
      </c>
      <c r="B13" s="7">
        <v>0.27600000000000002</v>
      </c>
      <c r="C13" s="8">
        <v>0.27800000000000002</v>
      </c>
      <c r="D13" s="7">
        <v>0.57099999999999995</v>
      </c>
      <c r="E13" s="8">
        <v>0.69299999999999995</v>
      </c>
      <c r="F13" s="7">
        <v>0.77400000000000002</v>
      </c>
      <c r="G13" s="8">
        <v>0.64800000000000002</v>
      </c>
    </row>
    <row r="14" spans="1:7" x14ac:dyDescent="0.25">
      <c r="A14" s="6">
        <v>43</v>
      </c>
      <c r="B14" s="7">
        <v>0.51400000000000001</v>
      </c>
      <c r="C14" s="8">
        <v>0.26200000000000001</v>
      </c>
      <c r="D14" s="7">
        <v>0.621</v>
      </c>
      <c r="E14" s="8">
        <v>0.66</v>
      </c>
      <c r="F14" s="7">
        <v>0.76200000000000001</v>
      </c>
      <c r="G14" s="8">
        <v>0.66600000000000004</v>
      </c>
    </row>
    <row r="15" spans="1:7" x14ac:dyDescent="0.25">
      <c r="A15" s="6">
        <v>45</v>
      </c>
      <c r="B15" s="7">
        <v>0.629</v>
      </c>
      <c r="C15" s="8">
        <v>0.26500000000000001</v>
      </c>
      <c r="D15" s="7">
        <v>0.61299999999999999</v>
      </c>
      <c r="E15" s="8">
        <v>0.70099999999999996</v>
      </c>
      <c r="F15" s="7">
        <v>0.76300000000000001</v>
      </c>
      <c r="G15" s="8">
        <v>0.65500000000000003</v>
      </c>
    </row>
    <row r="16" spans="1:7" x14ac:dyDescent="0.25">
      <c r="A16" s="6">
        <v>47</v>
      </c>
      <c r="B16" s="7">
        <v>0.86799999999999999</v>
      </c>
      <c r="C16" s="8">
        <v>0.253</v>
      </c>
      <c r="D16" s="7">
        <v>0.63600000000000001</v>
      </c>
      <c r="E16" s="8">
        <v>0.65300000000000002</v>
      </c>
      <c r="F16" s="7">
        <v>0.80700000000000005</v>
      </c>
      <c r="G16" s="8">
        <v>0.66700000000000004</v>
      </c>
    </row>
    <row r="17" spans="1:7" x14ac:dyDescent="0.25">
      <c r="A17" s="6">
        <v>49</v>
      </c>
      <c r="B17" s="7">
        <v>0.78300000000000003</v>
      </c>
      <c r="C17" s="8">
        <v>0.27100000000000002</v>
      </c>
      <c r="D17" s="7">
        <v>0.60099999999999998</v>
      </c>
      <c r="E17" s="8">
        <v>0.61599999999999999</v>
      </c>
      <c r="F17" s="7">
        <v>0.84199999999999997</v>
      </c>
      <c r="G17" s="8">
        <v>0.69699999999999995</v>
      </c>
    </row>
    <row r="18" spans="1:7" ht="15.75" thickBot="1" x14ac:dyDescent="0.3">
      <c r="A18" s="9">
        <v>51</v>
      </c>
      <c r="B18" s="10">
        <v>0.86499999999999999</v>
      </c>
      <c r="C18" s="11">
        <v>0.251</v>
      </c>
      <c r="D18" s="10">
        <v>0.63700000000000001</v>
      </c>
      <c r="E18" s="11">
        <v>0.752</v>
      </c>
      <c r="F18" s="10">
        <v>0.77100000000000002</v>
      </c>
      <c r="G18" s="11">
        <v>0.67600000000000005</v>
      </c>
    </row>
    <row r="37" spans="2:6" x14ac:dyDescent="0.25">
      <c r="B37" s="17" t="s">
        <v>29</v>
      </c>
      <c r="C37" s="17"/>
      <c r="D37" s="17"/>
      <c r="E37" s="17"/>
      <c r="F37" s="17"/>
    </row>
    <row r="38" spans="2:6" x14ac:dyDescent="0.25">
      <c r="B38" s="17"/>
      <c r="C38" s="17"/>
      <c r="D38" s="17"/>
      <c r="E38" s="17"/>
      <c r="F38" s="17"/>
    </row>
    <row r="39" spans="2:6" x14ac:dyDescent="0.25">
      <c r="B39" s="17"/>
      <c r="C39" s="17"/>
      <c r="D39" s="17"/>
      <c r="E39" s="17"/>
      <c r="F39" s="17"/>
    </row>
    <row r="40" spans="2:6" x14ac:dyDescent="0.25">
      <c r="B40" s="17"/>
      <c r="C40" s="17"/>
      <c r="D40" s="17"/>
      <c r="E40" s="17"/>
      <c r="F40" s="17"/>
    </row>
    <row r="41" spans="2:6" x14ac:dyDescent="0.25">
      <c r="B41" s="17"/>
      <c r="C41" s="17"/>
      <c r="D41" s="17"/>
      <c r="E41" s="17"/>
      <c r="F41" s="17"/>
    </row>
    <row r="42" spans="2:6" x14ac:dyDescent="0.25">
      <c r="B42" s="17"/>
      <c r="C42" s="17"/>
      <c r="D42" s="17"/>
      <c r="E42" s="17"/>
      <c r="F42" s="17"/>
    </row>
    <row r="43" spans="2:6" x14ac:dyDescent="0.25">
      <c r="B43" s="17"/>
      <c r="C43" s="17"/>
      <c r="D43" s="17"/>
      <c r="E43" s="17"/>
      <c r="F43" s="17"/>
    </row>
    <row r="44" spans="2:6" x14ac:dyDescent="0.25">
      <c r="B44" s="17"/>
      <c r="C44" s="17"/>
      <c r="D44" s="17"/>
      <c r="E44" s="17"/>
      <c r="F44" s="17"/>
    </row>
    <row r="45" spans="2:6" x14ac:dyDescent="0.25">
      <c r="B45" s="17"/>
      <c r="C45" s="17"/>
      <c r="D45" s="17"/>
      <c r="E45" s="17"/>
      <c r="F45" s="17"/>
    </row>
    <row r="46" spans="2:6" x14ac:dyDescent="0.25">
      <c r="B46" s="17"/>
      <c r="C46" s="17"/>
      <c r="D46" s="17"/>
      <c r="E46" s="17"/>
      <c r="F46" s="17"/>
    </row>
    <row r="47" spans="2:6" x14ac:dyDescent="0.25">
      <c r="B47" s="17"/>
      <c r="C47" s="17"/>
      <c r="D47" s="17"/>
      <c r="E47" s="17"/>
      <c r="F47" s="17"/>
    </row>
    <row r="48" spans="2:6" x14ac:dyDescent="0.25">
      <c r="B48" s="17"/>
      <c r="C48" s="17"/>
      <c r="D48" s="17"/>
      <c r="E48" s="17"/>
      <c r="F48" s="17"/>
    </row>
    <row r="49" spans="2:6" x14ac:dyDescent="0.25">
      <c r="B49" s="17"/>
      <c r="C49" s="17"/>
      <c r="D49" s="17"/>
      <c r="E49" s="17"/>
      <c r="F49" s="17"/>
    </row>
    <row r="50" spans="2:6" x14ac:dyDescent="0.25">
      <c r="B50" s="17"/>
      <c r="C50" s="17"/>
      <c r="D50" s="17"/>
      <c r="E50" s="17"/>
      <c r="F50" s="17"/>
    </row>
    <row r="51" spans="2:6" x14ac:dyDescent="0.25">
      <c r="B51" s="17"/>
      <c r="C51" s="17"/>
      <c r="D51" s="17"/>
      <c r="E51" s="17"/>
      <c r="F51" s="17"/>
    </row>
    <row r="52" spans="2:6" x14ac:dyDescent="0.25">
      <c r="B52" s="17"/>
      <c r="C52" s="17"/>
      <c r="D52" s="17"/>
      <c r="E52" s="17"/>
      <c r="F52" s="17"/>
    </row>
    <row r="53" spans="2:6" x14ac:dyDescent="0.25">
      <c r="B53" s="17"/>
      <c r="C53" s="17"/>
      <c r="D53" s="17"/>
      <c r="E53" s="17"/>
      <c r="F53" s="17"/>
    </row>
    <row r="54" spans="2:6" x14ac:dyDescent="0.25">
      <c r="B54" s="17"/>
      <c r="C54" s="17"/>
      <c r="D54" s="17"/>
      <c r="E54" s="17"/>
      <c r="F54" s="17"/>
    </row>
    <row r="55" spans="2:6" x14ac:dyDescent="0.25">
      <c r="B55" s="17"/>
      <c r="C55" s="17"/>
      <c r="D55" s="17"/>
      <c r="E55" s="17"/>
      <c r="F55" s="17"/>
    </row>
    <row r="56" spans="2:6" x14ac:dyDescent="0.25">
      <c r="B56" s="17"/>
      <c r="C56" s="17"/>
      <c r="D56" s="17"/>
      <c r="E56" s="17"/>
      <c r="F56" s="17"/>
    </row>
    <row r="57" spans="2:6" x14ac:dyDescent="0.25">
      <c r="B57" s="17"/>
      <c r="C57" s="17"/>
      <c r="D57" s="17"/>
      <c r="E57" s="17"/>
      <c r="F57" s="17"/>
    </row>
  </sheetData>
  <mergeCells count="5">
    <mergeCell ref="A5:A6"/>
    <mergeCell ref="B5:C5"/>
    <mergeCell ref="D5:E5"/>
    <mergeCell ref="F5:G5"/>
    <mergeCell ref="B37:F5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A1735-F5FD-480E-8C71-807673DBD131}">
  <dimension ref="A1:E17"/>
  <sheetViews>
    <sheetView workbookViewId="0"/>
  </sheetViews>
  <sheetFormatPr defaultRowHeight="15" x14ac:dyDescent="0.25"/>
  <cols>
    <col min="1" max="1" width="21.85546875" bestFit="1" customWidth="1"/>
    <col min="2" max="2" width="15.5703125" bestFit="1" customWidth="1"/>
    <col min="3" max="3" width="12" bestFit="1" customWidth="1"/>
    <col min="4" max="4" width="7.7109375" bestFit="1" customWidth="1"/>
    <col min="5" max="5" width="12.7109375" bestFit="1" customWidth="1"/>
  </cols>
  <sheetData>
    <row r="1" spans="1:5" x14ac:dyDescent="0.25">
      <c r="A1" s="19" t="s">
        <v>36</v>
      </c>
    </row>
    <row r="2" spans="1:5" x14ac:dyDescent="0.25">
      <c r="A2" s="20" t="s">
        <v>33</v>
      </c>
    </row>
    <row r="3" spans="1:5" x14ac:dyDescent="0.25">
      <c r="A3" s="18" t="s">
        <v>30</v>
      </c>
    </row>
    <row r="5" spans="1:5" x14ac:dyDescent="0.25">
      <c r="A5" s="1" t="s">
        <v>21</v>
      </c>
      <c r="B5" s="1" t="s">
        <v>20</v>
      </c>
    </row>
    <row r="6" spans="1:5" x14ac:dyDescent="0.25">
      <c r="A6" s="1" t="s">
        <v>18</v>
      </c>
      <c r="B6" t="s">
        <v>6</v>
      </c>
      <c r="C6" t="s">
        <v>12</v>
      </c>
      <c r="D6" t="s">
        <v>11</v>
      </c>
      <c r="E6" t="s">
        <v>19</v>
      </c>
    </row>
    <row r="7" spans="1:5" x14ac:dyDescent="0.25">
      <c r="A7" s="2">
        <v>0</v>
      </c>
      <c r="B7">
        <v>3.6946958618376657E-2</v>
      </c>
      <c r="E7">
        <v>3.6946958618376657E-2</v>
      </c>
    </row>
    <row r="8" spans="1:5" x14ac:dyDescent="0.25">
      <c r="A8" s="2">
        <v>2</v>
      </c>
      <c r="B8">
        <v>-0.23483300472238025</v>
      </c>
      <c r="C8">
        <v>-0.28939999999999999</v>
      </c>
      <c r="D8">
        <v>-0.28939999999999999</v>
      </c>
      <c r="E8">
        <v>-0.27121100157412675</v>
      </c>
    </row>
    <row r="9" spans="1:5" x14ac:dyDescent="0.25">
      <c r="A9" s="2">
        <v>4</v>
      </c>
      <c r="B9">
        <v>0.42923641539648832</v>
      </c>
      <c r="C9">
        <v>1.2463468959005493</v>
      </c>
      <c r="D9">
        <v>-0.28939999999999999</v>
      </c>
      <c r="E9">
        <v>0.46206110376567916</v>
      </c>
    </row>
    <row r="10" spans="1:5" x14ac:dyDescent="0.25">
      <c r="A10" s="2">
        <v>6</v>
      </c>
      <c r="B10">
        <v>1.0041427231269586</v>
      </c>
      <c r="C10">
        <v>1.0136972656414442</v>
      </c>
      <c r="D10">
        <v>-0.28939999999999999</v>
      </c>
      <c r="E10">
        <v>0.57614666292280081</v>
      </c>
    </row>
    <row r="11" spans="1:5" x14ac:dyDescent="0.25">
      <c r="A11" s="2">
        <v>8</v>
      </c>
      <c r="B11">
        <v>1.0589961798704142</v>
      </c>
      <c r="C11">
        <v>1.190347341990809</v>
      </c>
      <c r="D11">
        <v>-0.28939999999999999</v>
      </c>
      <c r="E11">
        <v>0.65331450728707441</v>
      </c>
    </row>
    <row r="12" spans="1:5" x14ac:dyDescent="0.25">
      <c r="A12" s="2">
        <v>23</v>
      </c>
      <c r="B12">
        <v>1.2201514433994709</v>
      </c>
      <c r="C12">
        <v>1.2763260370018727</v>
      </c>
      <c r="D12">
        <v>-0.28939999999999999</v>
      </c>
      <c r="E12">
        <v>0.73569249346711463</v>
      </c>
    </row>
    <row r="13" spans="1:5" x14ac:dyDescent="0.25">
      <c r="A13" s="2">
        <v>32</v>
      </c>
      <c r="B13">
        <v>1.4004130165979511</v>
      </c>
      <c r="C13">
        <v>3.3875509128122183</v>
      </c>
      <c r="D13">
        <v>-0.28939999999999999</v>
      </c>
      <c r="E13">
        <v>1.4995213098033897</v>
      </c>
    </row>
    <row r="14" spans="1:5" x14ac:dyDescent="0.25">
      <c r="A14" s="2">
        <v>43</v>
      </c>
      <c r="B14">
        <v>1.7205831660115507</v>
      </c>
      <c r="C14">
        <v>4.7380566509680762</v>
      </c>
      <c r="D14">
        <v>-0.28939999999999999</v>
      </c>
      <c r="E14">
        <v>2.0564132723265423</v>
      </c>
    </row>
    <row r="15" spans="1:5" x14ac:dyDescent="0.25">
      <c r="A15" s="2">
        <v>47</v>
      </c>
      <c r="C15">
        <v>1.9344375672865395</v>
      </c>
      <c r="E15">
        <v>1.9344375672865395</v>
      </c>
    </row>
    <row r="16" spans="1:5" x14ac:dyDescent="0.25">
      <c r="A16" s="2">
        <v>49</v>
      </c>
      <c r="B16">
        <v>-0.28939999999999999</v>
      </c>
      <c r="C16">
        <v>4.2666396951008352</v>
      </c>
      <c r="D16">
        <v>-0.28939999999999999</v>
      </c>
      <c r="E16">
        <v>1.2292798983669451</v>
      </c>
    </row>
    <row r="17" spans="1:5" x14ac:dyDescent="0.25">
      <c r="A17" s="2" t="s">
        <v>19</v>
      </c>
      <c r="B17">
        <v>0.74444275517525205</v>
      </c>
      <c r="C17">
        <v>2.0937392450657732</v>
      </c>
      <c r="D17">
        <v>-0.28939999999999999</v>
      </c>
      <c r="E17">
        <v>0.87237388008194861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59430-F6D9-4B64-8ACD-EB854459ECC8}">
  <dimension ref="A1:J55"/>
  <sheetViews>
    <sheetView workbookViewId="0">
      <pane ySplit="5" topLeftCell="A6" activePane="bottomLeft" state="frozen"/>
      <selection pane="bottomLeft"/>
    </sheetView>
  </sheetViews>
  <sheetFormatPr defaultRowHeight="15" x14ac:dyDescent="0.25"/>
  <cols>
    <col min="1" max="10" width="15.7109375" style="2" customWidth="1"/>
  </cols>
  <sheetData>
    <row r="1" spans="1:10" x14ac:dyDescent="0.25">
      <c r="A1" s="18" t="s">
        <v>36</v>
      </c>
    </row>
    <row r="2" spans="1:10" x14ac:dyDescent="0.25">
      <c r="A2" s="20" t="s">
        <v>35</v>
      </c>
    </row>
    <row r="3" spans="1:10" x14ac:dyDescent="0.25">
      <c r="A3" s="18" t="s">
        <v>30</v>
      </c>
    </row>
    <row r="5" spans="1:10" x14ac:dyDescent="0.25">
      <c r="A5" s="23" t="s">
        <v>4</v>
      </c>
      <c r="B5" s="23" t="s">
        <v>13</v>
      </c>
      <c r="C5" s="23" t="s">
        <v>5</v>
      </c>
      <c r="D5" s="23" t="s">
        <v>10</v>
      </c>
      <c r="E5" s="23" t="s">
        <v>7</v>
      </c>
      <c r="F5" s="23" t="s">
        <v>8</v>
      </c>
      <c r="G5" s="23" t="s">
        <v>9</v>
      </c>
      <c r="H5" s="23" t="s">
        <v>15</v>
      </c>
      <c r="I5" s="23" t="s">
        <v>16</v>
      </c>
      <c r="J5" s="23" t="s">
        <v>17</v>
      </c>
    </row>
    <row r="6" spans="1:10" x14ac:dyDescent="0.25">
      <c r="A6" s="21" t="s">
        <v>6</v>
      </c>
      <c r="B6" s="21">
        <v>0</v>
      </c>
      <c r="C6" s="21">
        <v>0</v>
      </c>
      <c r="D6" s="21">
        <v>1</v>
      </c>
      <c r="E6" s="21">
        <v>0</v>
      </c>
      <c r="F6" s="21">
        <v>31.413050024640526</v>
      </c>
      <c r="G6" s="21">
        <v>1.1584911559047804</v>
      </c>
      <c r="H6" s="21">
        <f>0.1171*E6-0.0273</f>
        <v>-2.7300000000000001E-2</v>
      </c>
      <c r="I6" s="21">
        <f>0.2965*HPLC_raw_data!F6+0.1312</f>
        <v>9.445169332305916</v>
      </c>
      <c r="J6" s="21">
        <f>0.2817*HPLC_raw_data!G6-0.2894</f>
        <v>3.6946958618376657E-2</v>
      </c>
    </row>
    <row r="7" spans="1:10" x14ac:dyDescent="0.25">
      <c r="A7" s="21" t="s">
        <v>6</v>
      </c>
      <c r="B7" s="21">
        <v>1</v>
      </c>
      <c r="C7" s="21">
        <v>2</v>
      </c>
      <c r="D7" s="21">
        <v>1</v>
      </c>
      <c r="E7" s="21">
        <v>0</v>
      </c>
      <c r="F7" s="21">
        <v>30.288490811351934</v>
      </c>
      <c r="G7" s="21">
        <v>0</v>
      </c>
      <c r="H7" s="21">
        <f t="shared" ref="H7:H55" si="0">0.1171*E7-0.0273</f>
        <v>-2.7300000000000001E-2</v>
      </c>
      <c r="I7" s="21">
        <f>0.2965*HPLC_raw_data!F7+0.1312</f>
        <v>9.1117375255658484</v>
      </c>
      <c r="J7" s="21">
        <f>0.2817*HPLC_raw_data!G7-0.2894</f>
        <v>-0.28939999999999999</v>
      </c>
    </row>
    <row r="8" spans="1:10" x14ac:dyDescent="0.25">
      <c r="A8" s="27" t="s">
        <v>6</v>
      </c>
      <c r="B8" s="27">
        <v>1</v>
      </c>
      <c r="C8" s="27">
        <v>2</v>
      </c>
      <c r="D8" s="27">
        <v>2</v>
      </c>
      <c r="E8" s="27">
        <v>0</v>
      </c>
      <c r="F8" s="27">
        <v>29.323552292038215</v>
      </c>
      <c r="G8" s="27">
        <v>0.38741210704735352</v>
      </c>
      <c r="H8" s="27">
        <f t="shared" si="0"/>
        <v>-2.7300000000000001E-2</v>
      </c>
      <c r="I8" s="27">
        <f>0.2965*HPLC_raw_data!F8+0.1312</f>
        <v>8.8256332545893308</v>
      </c>
      <c r="J8" s="27">
        <f>0.2817*HPLC_raw_data!G8-0.2894</f>
        <v>-0.18026600944476051</v>
      </c>
    </row>
    <row r="9" spans="1:10" x14ac:dyDescent="0.25">
      <c r="A9" s="21" t="s">
        <v>11</v>
      </c>
      <c r="B9" s="21">
        <v>1</v>
      </c>
      <c r="C9" s="21">
        <v>2</v>
      </c>
      <c r="D9" s="21">
        <v>1</v>
      </c>
      <c r="E9" s="21">
        <v>0</v>
      </c>
      <c r="F9" s="21">
        <v>26.023049491413047</v>
      </c>
      <c r="G9" s="21">
        <v>0</v>
      </c>
      <c r="H9" s="21">
        <f t="shared" si="0"/>
        <v>-2.7300000000000001E-2</v>
      </c>
      <c r="I9" s="21">
        <f>0.2965*HPLC_raw_data!F9+0.1312</f>
        <v>7.8470341742039675</v>
      </c>
      <c r="J9" s="21">
        <f>0.2817*HPLC_raw_data!G9-0.2894</f>
        <v>-0.28939999999999999</v>
      </c>
    </row>
    <row r="10" spans="1:10" x14ac:dyDescent="0.25">
      <c r="A10" s="27" t="s">
        <v>11</v>
      </c>
      <c r="B10" s="27">
        <v>1</v>
      </c>
      <c r="C10" s="27">
        <v>2</v>
      </c>
      <c r="D10" s="27">
        <v>2</v>
      </c>
      <c r="E10" s="27">
        <v>0</v>
      </c>
      <c r="F10" s="27">
        <v>26.11395819982647</v>
      </c>
      <c r="G10" s="27">
        <v>0</v>
      </c>
      <c r="H10" s="27">
        <f t="shared" si="0"/>
        <v>-2.7300000000000001E-2</v>
      </c>
      <c r="I10" s="27">
        <f>0.2965*HPLC_raw_data!F10+0.1312</f>
        <v>7.873988606248548</v>
      </c>
      <c r="J10" s="27">
        <f>0.2817*HPLC_raw_data!G10-0.2894</f>
        <v>-0.28939999999999999</v>
      </c>
    </row>
    <row r="11" spans="1:10" x14ac:dyDescent="0.25">
      <c r="A11" s="21" t="s">
        <v>12</v>
      </c>
      <c r="B11" s="21">
        <v>1</v>
      </c>
      <c r="C11" s="21">
        <v>2</v>
      </c>
      <c r="D11" s="21">
        <v>1</v>
      </c>
      <c r="E11" s="21">
        <v>0</v>
      </c>
      <c r="F11" s="21">
        <v>21.845922473907294</v>
      </c>
      <c r="G11" s="21">
        <v>0</v>
      </c>
      <c r="H11" s="21">
        <f t="shared" si="0"/>
        <v>-2.7300000000000001E-2</v>
      </c>
      <c r="I11" s="21">
        <f>0.2965*HPLC_raw_data!F11+0.1312</f>
        <v>6.6085160135135119</v>
      </c>
      <c r="J11" s="21">
        <f>0.2817*HPLC_raw_data!G11-0.2894</f>
        <v>-0.28939999999999999</v>
      </c>
    </row>
    <row r="12" spans="1:10" x14ac:dyDescent="0.25">
      <c r="A12" s="27" t="s">
        <v>12</v>
      </c>
      <c r="B12" s="27">
        <v>1</v>
      </c>
      <c r="C12" s="27">
        <v>2</v>
      </c>
      <c r="D12" s="27">
        <v>2</v>
      </c>
      <c r="E12" s="27">
        <v>0</v>
      </c>
      <c r="F12" s="27">
        <v>21.725013738325998</v>
      </c>
      <c r="G12" s="27">
        <v>0</v>
      </c>
      <c r="H12" s="27">
        <f t="shared" si="0"/>
        <v>-2.7300000000000001E-2</v>
      </c>
      <c r="I12" s="27">
        <f>0.2965*HPLC_raw_data!F12+0.1312</f>
        <v>6.5726665734136578</v>
      </c>
      <c r="J12" s="27">
        <f>0.2817*HPLC_raw_data!G12-0.2894</f>
        <v>-0.28939999999999999</v>
      </c>
    </row>
    <row r="13" spans="1:10" x14ac:dyDescent="0.25">
      <c r="A13" s="21" t="s">
        <v>6</v>
      </c>
      <c r="B13" s="21">
        <v>2</v>
      </c>
      <c r="C13" s="21">
        <v>4</v>
      </c>
      <c r="D13" s="21">
        <v>1</v>
      </c>
      <c r="E13" s="21">
        <v>0</v>
      </c>
      <c r="F13" s="21">
        <v>33.637413983086432</v>
      </c>
      <c r="G13" s="21">
        <v>5.1021399744159623</v>
      </c>
      <c r="H13" s="21">
        <f t="shared" si="0"/>
        <v>-2.7300000000000001E-2</v>
      </c>
      <c r="I13" s="21">
        <f>0.2965*HPLC_raw_data!F13+0.1312</f>
        <v>10.104693245985127</v>
      </c>
      <c r="J13" s="21">
        <f>0.2817*HPLC_raw_data!G13-0.2894</f>
        <v>1.1478728307929766</v>
      </c>
    </row>
    <row r="14" spans="1:10" x14ac:dyDescent="0.25">
      <c r="A14" s="27" t="s">
        <v>6</v>
      </c>
      <c r="B14" s="27">
        <v>2</v>
      </c>
      <c r="C14" s="27">
        <v>4</v>
      </c>
      <c r="D14" s="27">
        <v>2</v>
      </c>
      <c r="E14" s="27">
        <v>0</v>
      </c>
      <c r="F14" s="27">
        <v>33.700950910901625</v>
      </c>
      <c r="G14" s="27">
        <v>0</v>
      </c>
      <c r="H14" s="27">
        <f t="shared" si="0"/>
        <v>-2.7300000000000001E-2</v>
      </c>
      <c r="I14" s="27">
        <f>0.2965*HPLC_raw_data!F14+0.1312</f>
        <v>10.12353194508233</v>
      </c>
      <c r="J14" s="27">
        <f>0.2817*HPLC_raw_data!G14-0.2894</f>
        <v>-0.28939999999999999</v>
      </c>
    </row>
    <row r="15" spans="1:10" x14ac:dyDescent="0.25">
      <c r="A15" s="21" t="s">
        <v>11</v>
      </c>
      <c r="B15" s="21">
        <v>2</v>
      </c>
      <c r="C15" s="21">
        <v>4</v>
      </c>
      <c r="D15" s="21">
        <v>1</v>
      </c>
      <c r="E15" s="21">
        <v>0</v>
      </c>
      <c r="F15" s="21">
        <v>31.031245838860769</v>
      </c>
      <c r="G15" s="21">
        <v>0</v>
      </c>
      <c r="H15" s="21">
        <f t="shared" si="0"/>
        <v>-2.7300000000000001E-2</v>
      </c>
      <c r="I15" s="21">
        <f>0.2965*HPLC_raw_data!F15+0.1312</f>
        <v>9.3319643912222183</v>
      </c>
      <c r="J15" s="21">
        <f>0.2817*HPLC_raw_data!G15-0.2894</f>
        <v>-0.28939999999999999</v>
      </c>
    </row>
    <row r="16" spans="1:10" x14ac:dyDescent="0.25">
      <c r="A16" s="27" t="s">
        <v>11</v>
      </c>
      <c r="B16" s="27">
        <v>2</v>
      </c>
      <c r="C16" s="27">
        <v>4</v>
      </c>
      <c r="D16" s="27">
        <v>2</v>
      </c>
      <c r="E16" s="27">
        <v>0</v>
      </c>
      <c r="F16" s="27">
        <v>31.200108663214294</v>
      </c>
      <c r="G16" s="27">
        <v>0</v>
      </c>
      <c r="H16" s="27">
        <f t="shared" si="0"/>
        <v>-2.7300000000000001E-2</v>
      </c>
      <c r="I16" s="27">
        <f>0.2965*HPLC_raw_data!F16+0.1312</f>
        <v>9.3820322186430367</v>
      </c>
      <c r="J16" s="27">
        <f>0.2817*HPLC_raw_data!G16-0.2894</f>
        <v>-0.28939999999999999</v>
      </c>
    </row>
    <row r="17" spans="1:10" x14ac:dyDescent="0.25">
      <c r="A17" s="21" t="s">
        <v>12</v>
      </c>
      <c r="B17" s="21">
        <v>2</v>
      </c>
      <c r="C17" s="21">
        <v>4</v>
      </c>
      <c r="D17" s="21">
        <v>1</v>
      </c>
      <c r="E17" s="21">
        <v>0</v>
      </c>
      <c r="F17" s="21">
        <v>21.694582620000006</v>
      </c>
      <c r="G17" s="21">
        <v>5.6744612427333578</v>
      </c>
      <c r="H17" s="21">
        <f t="shared" si="0"/>
        <v>-2.7300000000000001E-2</v>
      </c>
      <c r="I17" s="21">
        <f>0.2965*HPLC_raw_data!F17+0.1312</f>
        <v>6.5636437468300013</v>
      </c>
      <c r="J17" s="21">
        <f>0.2817*HPLC_raw_data!G17-0.2894</f>
        <v>1.3090957320779868</v>
      </c>
    </row>
    <row r="18" spans="1:10" x14ac:dyDescent="0.25">
      <c r="A18" s="27" t="s">
        <v>12</v>
      </c>
      <c r="B18" s="27">
        <v>2</v>
      </c>
      <c r="C18" s="27">
        <v>4</v>
      </c>
      <c r="D18" s="27">
        <v>2</v>
      </c>
      <c r="E18" s="27">
        <v>0</v>
      </c>
      <c r="F18" s="27">
        <v>21.347459032185441</v>
      </c>
      <c r="G18" s="27">
        <v>5.2289600984136015</v>
      </c>
      <c r="H18" s="27">
        <f t="shared" si="0"/>
        <v>-2.7300000000000001E-2</v>
      </c>
      <c r="I18" s="27">
        <f>0.2965*HPLC_raw_data!F18+0.1312</f>
        <v>6.460721603042983</v>
      </c>
      <c r="J18" s="27">
        <f>0.2817*HPLC_raw_data!G18-0.2894</f>
        <v>1.1835980597231117</v>
      </c>
    </row>
    <row r="19" spans="1:10" x14ac:dyDescent="0.25">
      <c r="A19" s="21" t="s">
        <v>6</v>
      </c>
      <c r="B19" s="21">
        <v>3</v>
      </c>
      <c r="C19" s="21">
        <v>6</v>
      </c>
      <c r="D19" s="21">
        <v>1</v>
      </c>
      <c r="E19" s="21">
        <v>9.0760588565354254</v>
      </c>
      <c r="F19" s="21">
        <v>67.030689510950708</v>
      </c>
      <c r="G19" s="21">
        <v>4.587716940335433</v>
      </c>
      <c r="H19" s="21">
        <f t="shared" si="0"/>
        <v>1.0355064921002981</v>
      </c>
      <c r="I19" s="21">
        <f>0.2965*HPLC_raw_data!F19+0.1312</f>
        <v>20.005799439996885</v>
      </c>
      <c r="J19" s="21">
        <f>0.2817*HPLC_raw_data!G19-0.2894</f>
        <v>1.0029598620924913</v>
      </c>
    </row>
    <row r="20" spans="1:10" x14ac:dyDescent="0.25">
      <c r="A20" s="27" t="s">
        <v>6</v>
      </c>
      <c r="B20" s="27">
        <v>3</v>
      </c>
      <c r="C20" s="27">
        <v>6</v>
      </c>
      <c r="D20" s="27">
        <v>2</v>
      </c>
      <c r="E20" s="27">
        <v>9.536559077176463</v>
      </c>
      <c r="F20" s="27">
        <v>67.883677103697181</v>
      </c>
      <c r="G20" s="27">
        <v>4.596114959749471</v>
      </c>
      <c r="H20" s="27">
        <f t="shared" si="0"/>
        <v>1.0894310679373638</v>
      </c>
      <c r="I20" s="27">
        <f>0.2965*HPLC_raw_data!F20+0.1312</f>
        <v>20.258710261246215</v>
      </c>
      <c r="J20" s="27">
        <f>0.2817*HPLC_raw_data!G20-0.2894</f>
        <v>1.0053255841614259</v>
      </c>
    </row>
    <row r="21" spans="1:10" x14ac:dyDescent="0.25">
      <c r="A21" s="21" t="s">
        <v>11</v>
      </c>
      <c r="B21" s="21">
        <v>3</v>
      </c>
      <c r="C21" s="21">
        <v>6</v>
      </c>
      <c r="D21" s="21">
        <v>1</v>
      </c>
      <c r="E21" s="21">
        <v>6.9652335544255379</v>
      </c>
      <c r="F21" s="21">
        <v>61.04436083033869</v>
      </c>
      <c r="G21" s="21">
        <v>0</v>
      </c>
      <c r="H21" s="21">
        <f t="shared" si="0"/>
        <v>0.78832884922323043</v>
      </c>
      <c r="I21" s="21">
        <f>0.2965*HPLC_raw_data!F21+0.1312</f>
        <v>18.230852986195419</v>
      </c>
      <c r="J21" s="21">
        <f>0.2817*HPLC_raw_data!G21-0.2894</f>
        <v>-0.28939999999999999</v>
      </c>
    </row>
    <row r="22" spans="1:10" x14ac:dyDescent="0.25">
      <c r="A22" s="27" t="s">
        <v>11</v>
      </c>
      <c r="B22" s="27">
        <v>3</v>
      </c>
      <c r="C22" s="27">
        <v>6</v>
      </c>
      <c r="D22" s="27">
        <v>2</v>
      </c>
      <c r="E22" s="27">
        <v>5.8602395739075632</v>
      </c>
      <c r="F22" s="27">
        <v>63.909900808162178</v>
      </c>
      <c r="G22" s="27">
        <v>0</v>
      </c>
      <c r="H22" s="27">
        <f t="shared" si="0"/>
        <v>0.65893405410457562</v>
      </c>
      <c r="I22" s="27">
        <f>0.2965*HPLC_raw_data!F22+0.1312</f>
        <v>19.080485589620086</v>
      </c>
      <c r="J22" s="27">
        <f>0.2817*HPLC_raw_data!G22-0.2894</f>
        <v>-0.28939999999999999</v>
      </c>
    </row>
    <row r="23" spans="1:10" x14ac:dyDescent="0.25">
      <c r="A23" s="21" t="s">
        <v>12</v>
      </c>
      <c r="B23" s="21">
        <v>3</v>
      </c>
      <c r="C23" s="21">
        <v>6</v>
      </c>
      <c r="D23" s="21">
        <v>1</v>
      </c>
      <c r="E23" s="21">
        <v>0</v>
      </c>
      <c r="F23" s="21">
        <v>37.854342677749997</v>
      </c>
      <c r="G23" s="21">
        <v>4.9722809902109688</v>
      </c>
      <c r="H23" s="21">
        <f t="shared" si="0"/>
        <v>-2.7300000000000001E-2</v>
      </c>
      <c r="I23" s="21">
        <f>0.2965*HPLC_raw_data!F23+0.1312</f>
        <v>11.355012603952874</v>
      </c>
      <c r="J23" s="21">
        <f>0.2817*HPLC_raw_data!G23-0.2894</f>
        <v>1.1112915549424298</v>
      </c>
    </row>
    <row r="24" spans="1:10" x14ac:dyDescent="0.25">
      <c r="A24" s="27" t="s">
        <v>12</v>
      </c>
      <c r="B24" s="27">
        <v>3</v>
      </c>
      <c r="C24" s="27">
        <v>6</v>
      </c>
      <c r="D24" s="27">
        <v>2</v>
      </c>
      <c r="E24" s="27">
        <v>26.839044100663827</v>
      </c>
      <c r="F24" s="27">
        <v>36.166146402831544</v>
      </c>
      <c r="G24" s="27">
        <v>4.2793857875060652</v>
      </c>
      <c r="H24" s="27">
        <f t="shared" si="0"/>
        <v>3.1155520641877343</v>
      </c>
      <c r="I24" s="27">
        <f>0.2965*HPLC_raw_data!F24+0.1312</f>
        <v>10.854462408439552</v>
      </c>
      <c r="J24" s="27">
        <f>0.2817*HPLC_raw_data!G24-0.2894</f>
        <v>0.91610297634045856</v>
      </c>
    </row>
    <row r="25" spans="1:10" x14ac:dyDescent="0.25">
      <c r="A25" s="21" t="s">
        <v>6</v>
      </c>
      <c r="B25" s="21">
        <v>4</v>
      </c>
      <c r="C25" s="21">
        <v>8</v>
      </c>
      <c r="D25" s="21">
        <v>1</v>
      </c>
      <c r="E25" s="21">
        <v>9.7329668760384607</v>
      </c>
      <c r="F25" s="21">
        <v>68.085022961017543</v>
      </c>
      <c r="G25" s="21">
        <v>4.8083059088773368</v>
      </c>
      <c r="H25" s="21">
        <f t="shared" si="0"/>
        <v>1.1124304211841036</v>
      </c>
      <c r="I25" s="21">
        <f>0.2965*HPLC_raw_data!F25+0.1312</f>
        <v>20.3184093079417</v>
      </c>
      <c r="J25" s="21">
        <f>0.2817*HPLC_raw_data!G25-0.2894</f>
        <v>1.0650997745307458</v>
      </c>
    </row>
    <row r="26" spans="1:10" x14ac:dyDescent="0.25">
      <c r="A26" s="27" t="s">
        <v>6</v>
      </c>
      <c r="B26" s="27">
        <v>4</v>
      </c>
      <c r="C26" s="27">
        <v>8</v>
      </c>
      <c r="D26" s="27">
        <v>2</v>
      </c>
      <c r="E26" s="27">
        <v>9.5690868170992331</v>
      </c>
      <c r="F26" s="27">
        <v>67.995515813274977</v>
      </c>
      <c r="G26" s="27">
        <v>4.7649719034791715</v>
      </c>
      <c r="H26" s="27">
        <f t="shared" si="0"/>
        <v>1.0932400662823201</v>
      </c>
      <c r="I26" s="27">
        <f>0.2965*HPLC_raw_data!F26+0.1312</f>
        <v>20.291870438636028</v>
      </c>
      <c r="J26" s="27">
        <f>0.2817*HPLC_raw_data!G26-0.2894</f>
        <v>1.0528925852100826</v>
      </c>
    </row>
    <row r="27" spans="1:10" x14ac:dyDescent="0.25">
      <c r="A27" s="21" t="s">
        <v>11</v>
      </c>
      <c r="B27" s="21">
        <v>4</v>
      </c>
      <c r="C27" s="21">
        <v>8</v>
      </c>
      <c r="D27" s="21">
        <v>1</v>
      </c>
      <c r="E27" s="21">
        <v>7.4203340175206449</v>
      </c>
      <c r="F27" s="21">
        <v>62.965707271637001</v>
      </c>
      <c r="G27" s="21">
        <v>0</v>
      </c>
      <c r="H27" s="21">
        <f t="shared" si="0"/>
        <v>0.84162111345166746</v>
      </c>
      <c r="I27" s="21">
        <f>0.2965*HPLC_raw_data!F27+0.1312</f>
        <v>18.800532206040369</v>
      </c>
      <c r="J27" s="21">
        <f>0.2817*HPLC_raw_data!G27-0.2894</f>
        <v>-0.28939999999999999</v>
      </c>
    </row>
    <row r="28" spans="1:10" x14ac:dyDescent="0.25">
      <c r="A28" s="27" t="s">
        <v>11</v>
      </c>
      <c r="B28" s="27">
        <v>4</v>
      </c>
      <c r="C28" s="27">
        <v>8</v>
      </c>
      <c r="D28" s="27">
        <v>2</v>
      </c>
      <c r="E28" s="27">
        <v>7.7280745579668064</v>
      </c>
      <c r="F28" s="27">
        <v>62.934702180374344</v>
      </c>
      <c r="G28" s="27">
        <v>0</v>
      </c>
      <c r="H28" s="27">
        <f t="shared" si="0"/>
        <v>0.87765753073791297</v>
      </c>
      <c r="I28" s="27">
        <f>0.2965*HPLC_raw_data!F28+0.1312</f>
        <v>18.79133919648099</v>
      </c>
      <c r="J28" s="27">
        <f>0.2817*HPLC_raw_data!G28-0.2894</f>
        <v>-0.28939999999999999</v>
      </c>
    </row>
    <row r="29" spans="1:10" x14ac:dyDescent="0.25">
      <c r="A29" s="21" t="s">
        <v>12</v>
      </c>
      <c r="B29" s="21">
        <v>4</v>
      </c>
      <c r="C29" s="21">
        <v>8</v>
      </c>
      <c r="D29" s="21">
        <v>1</v>
      </c>
      <c r="E29" s="21">
        <v>0</v>
      </c>
      <c r="F29" s="21">
        <v>37.872802927243249</v>
      </c>
      <c r="G29" s="21">
        <v>5.3569947904081658</v>
      </c>
      <c r="H29" s="21">
        <f t="shared" si="0"/>
        <v>-2.7300000000000001E-2</v>
      </c>
      <c r="I29" s="21">
        <f>0.2965*HPLC_raw_data!F29+0.1312</f>
        <v>11.360486067927622</v>
      </c>
      <c r="J29" s="21">
        <f>0.2817*HPLC_raw_data!G29-0.2894</f>
        <v>1.2196654324579805</v>
      </c>
    </row>
    <row r="30" spans="1:10" x14ac:dyDescent="0.25">
      <c r="A30" s="27" t="s">
        <v>12</v>
      </c>
      <c r="B30" s="27">
        <v>4</v>
      </c>
      <c r="C30" s="27">
        <v>8</v>
      </c>
      <c r="D30" s="27">
        <v>2</v>
      </c>
      <c r="E30" s="27">
        <v>0</v>
      </c>
      <c r="F30" s="27">
        <v>36.033625196229508</v>
      </c>
      <c r="G30" s="27">
        <v>5.1488436333817447</v>
      </c>
      <c r="H30" s="27">
        <f t="shared" si="0"/>
        <v>-2.7300000000000001E-2</v>
      </c>
      <c r="I30" s="27">
        <f>0.2965*HPLC_raw_data!F30+0.1312</f>
        <v>10.815169870682048</v>
      </c>
      <c r="J30" s="27">
        <f>0.2817*HPLC_raw_data!G30-0.2894</f>
        <v>1.1610292515236376</v>
      </c>
    </row>
    <row r="31" spans="1:10" x14ac:dyDescent="0.25">
      <c r="A31" s="21" t="s">
        <v>6</v>
      </c>
      <c r="B31" s="21">
        <v>5</v>
      </c>
      <c r="C31" s="21">
        <v>23</v>
      </c>
      <c r="D31" s="21">
        <v>1</v>
      </c>
      <c r="E31" s="21">
        <v>11.109960076037737</v>
      </c>
      <c r="F31" s="21">
        <v>72.687937077257118</v>
      </c>
      <c r="G31" s="21">
        <v>5.3856980112273618</v>
      </c>
      <c r="H31" s="21">
        <f t="shared" si="0"/>
        <v>1.2736763249040188</v>
      </c>
      <c r="I31" s="21">
        <f>0.2965*HPLC_raw_data!F31+0.1312</f>
        <v>21.683173343406732</v>
      </c>
      <c r="J31" s="21">
        <f>0.2817*HPLC_raw_data!G31-0.2894</f>
        <v>1.2277511297627477</v>
      </c>
    </row>
    <row r="32" spans="1:10" x14ac:dyDescent="0.25">
      <c r="A32" s="27" t="s">
        <v>6</v>
      </c>
      <c r="B32" s="27">
        <v>5</v>
      </c>
      <c r="C32" s="27">
        <v>23</v>
      </c>
      <c r="D32" s="27">
        <v>2</v>
      </c>
      <c r="E32" s="27">
        <v>11.397661380786516</v>
      </c>
      <c r="F32" s="27">
        <v>72.094255344745164</v>
      </c>
      <c r="G32" s="27">
        <v>5.3317421265040608</v>
      </c>
      <c r="H32" s="27">
        <f t="shared" si="0"/>
        <v>1.3073661476901008</v>
      </c>
      <c r="I32" s="27">
        <f>0.2965*HPLC_raw_data!F32+0.1312</f>
        <v>21.507146709716938</v>
      </c>
      <c r="J32" s="27">
        <f>0.2817*HPLC_raw_data!G32-0.2894</f>
        <v>1.2125517570361941</v>
      </c>
    </row>
    <row r="33" spans="1:10" x14ac:dyDescent="0.25">
      <c r="A33" s="21" t="s">
        <v>11</v>
      </c>
      <c r="B33" s="21">
        <v>5</v>
      </c>
      <c r="C33" s="21">
        <v>23</v>
      </c>
      <c r="D33" s="21">
        <v>1</v>
      </c>
      <c r="E33" s="21">
        <v>8.9924775251612914</v>
      </c>
      <c r="F33" s="21">
        <v>65.057427654876335</v>
      </c>
      <c r="G33" s="21">
        <v>0</v>
      </c>
      <c r="H33" s="21">
        <f t="shared" si="0"/>
        <v>1.0257191181963872</v>
      </c>
      <c r="I33" s="21">
        <f>0.2965*HPLC_raw_data!F33+0.1312</f>
        <v>19.420727299670833</v>
      </c>
      <c r="J33" s="21">
        <f>0.2817*HPLC_raw_data!G33-0.2894</f>
        <v>-0.28939999999999999</v>
      </c>
    </row>
    <row r="34" spans="1:10" x14ac:dyDescent="0.25">
      <c r="A34" s="27" t="s">
        <v>11</v>
      </c>
      <c r="B34" s="27">
        <v>5</v>
      </c>
      <c r="C34" s="27">
        <v>23</v>
      </c>
      <c r="D34" s="27">
        <v>2</v>
      </c>
      <c r="E34" s="27">
        <v>9.1335001693117306</v>
      </c>
      <c r="F34" s="27">
        <v>64.585634732345667</v>
      </c>
      <c r="G34" s="27">
        <v>0</v>
      </c>
      <c r="H34" s="27">
        <f t="shared" si="0"/>
        <v>1.0422328698264036</v>
      </c>
      <c r="I34" s="27">
        <f>0.2965*HPLC_raw_data!F34+0.1312</f>
        <v>19.280840698140491</v>
      </c>
      <c r="J34" s="27">
        <f>0.2817*HPLC_raw_data!G34-0.2894</f>
        <v>-0.28939999999999999</v>
      </c>
    </row>
    <row r="35" spans="1:10" x14ac:dyDescent="0.25">
      <c r="A35" s="21" t="s">
        <v>12</v>
      </c>
      <c r="B35" s="21">
        <v>5</v>
      </c>
      <c r="C35" s="21">
        <v>23</v>
      </c>
      <c r="D35" s="21">
        <v>1</v>
      </c>
      <c r="E35" s="21">
        <v>0</v>
      </c>
      <c r="F35" s="21">
        <v>38.268761631382411</v>
      </c>
      <c r="G35" s="21">
        <v>5.5736536574950364</v>
      </c>
      <c r="H35" s="21">
        <f t="shared" si="0"/>
        <v>-2.7300000000000001E-2</v>
      </c>
      <c r="I35" s="21">
        <f>0.2965*HPLC_raw_data!F35+0.1312</f>
        <v>11.477887823704885</v>
      </c>
      <c r="J35" s="21">
        <f>0.2817*HPLC_raw_data!G35-0.2894</f>
        <v>1.2806982353163519</v>
      </c>
    </row>
    <row r="36" spans="1:10" x14ac:dyDescent="0.25">
      <c r="A36" s="27" t="s">
        <v>12</v>
      </c>
      <c r="B36" s="27">
        <v>5</v>
      </c>
      <c r="C36" s="27">
        <v>23</v>
      </c>
      <c r="D36" s="27">
        <v>2</v>
      </c>
      <c r="E36" s="27">
        <v>0</v>
      </c>
      <c r="F36" s="27">
        <v>36.215375299599998</v>
      </c>
      <c r="G36" s="27">
        <v>5.5426121359154905</v>
      </c>
      <c r="H36" s="27">
        <f t="shared" si="0"/>
        <v>-2.7300000000000001E-2</v>
      </c>
      <c r="I36" s="27">
        <f>0.2965*HPLC_raw_data!F36+0.1312</f>
        <v>10.869058776331398</v>
      </c>
      <c r="J36" s="27">
        <f>0.2817*HPLC_raw_data!G36-0.2894</f>
        <v>1.2719538386873936</v>
      </c>
    </row>
    <row r="37" spans="1:10" x14ac:dyDescent="0.25">
      <c r="A37" s="21" t="s">
        <v>6</v>
      </c>
      <c r="B37" s="21">
        <v>9</v>
      </c>
      <c r="C37" s="21">
        <v>32</v>
      </c>
      <c r="D37" s="21">
        <v>1</v>
      </c>
      <c r="E37" s="21">
        <v>15.284095373485343</v>
      </c>
      <c r="F37" s="21">
        <v>82.87746126072166</v>
      </c>
      <c r="G37" s="21">
        <v>5.9681188167766948</v>
      </c>
      <c r="H37" s="21">
        <f t="shared" si="0"/>
        <v>1.7624675682351334</v>
      </c>
      <c r="I37" s="21">
        <f>0.2965*HPLC_raw_data!F37+0.1312</f>
        <v>24.70436726380397</v>
      </c>
      <c r="J37" s="21">
        <f>0.2817*HPLC_raw_data!G37-0.2894</f>
        <v>1.3918190706859948</v>
      </c>
    </row>
    <row r="38" spans="1:10" x14ac:dyDescent="0.25">
      <c r="A38" s="27" t="s">
        <v>6</v>
      </c>
      <c r="B38" s="27">
        <v>9</v>
      </c>
      <c r="C38" s="27">
        <v>32</v>
      </c>
      <c r="D38" s="27">
        <v>2</v>
      </c>
      <c r="E38" s="27">
        <v>15.283449539276305</v>
      </c>
      <c r="F38" s="27">
        <v>82.530476383562814</v>
      </c>
      <c r="G38" s="27">
        <v>6.029133697230769</v>
      </c>
      <c r="H38" s="27">
        <f t="shared" si="0"/>
        <v>1.762391941049255</v>
      </c>
      <c r="I38" s="27">
        <f>0.2965*HPLC_raw_data!F38+0.1312</f>
        <v>24.601486247726374</v>
      </c>
      <c r="J38" s="27">
        <f>0.2817*HPLC_raw_data!G38-0.2894</f>
        <v>1.4090069625099075</v>
      </c>
    </row>
    <row r="39" spans="1:10" x14ac:dyDescent="0.25">
      <c r="A39" s="21" t="s">
        <v>11</v>
      </c>
      <c r="B39" s="21">
        <v>9</v>
      </c>
      <c r="C39" s="21">
        <v>32</v>
      </c>
      <c r="D39" s="21">
        <v>1</v>
      </c>
      <c r="E39" s="21">
        <v>15.001234875365853</v>
      </c>
      <c r="F39" s="21">
        <v>89.875188636901896</v>
      </c>
      <c r="G39" s="21">
        <v>0</v>
      </c>
      <c r="H39" s="21">
        <f t="shared" si="0"/>
        <v>1.7293446039053413</v>
      </c>
      <c r="I39" s="21">
        <f>0.2965*HPLC_raw_data!F39+0.1312</f>
        <v>26.77919343084141</v>
      </c>
      <c r="J39" s="21">
        <f>0.2817*HPLC_raw_data!G39-0.2894</f>
        <v>-0.28939999999999999</v>
      </c>
    </row>
    <row r="40" spans="1:10" x14ac:dyDescent="0.25">
      <c r="A40" s="27" t="s">
        <v>11</v>
      </c>
      <c r="B40" s="27">
        <v>9</v>
      </c>
      <c r="C40" s="27">
        <v>32</v>
      </c>
      <c r="D40" s="27">
        <v>2</v>
      </c>
      <c r="E40" s="27">
        <v>15.333389031538474</v>
      </c>
      <c r="F40" s="27">
        <v>90.208788526678205</v>
      </c>
      <c r="G40" s="27">
        <v>0</v>
      </c>
      <c r="H40" s="27">
        <f t="shared" si="0"/>
        <v>1.7682398555931551</v>
      </c>
      <c r="I40" s="27">
        <f>0.2965*HPLC_raw_data!F40+0.1312</f>
        <v>26.878105798160085</v>
      </c>
      <c r="J40" s="27">
        <f>0.2817*HPLC_raw_data!G40-0.2894</f>
        <v>-0.28939999999999999</v>
      </c>
    </row>
    <row r="41" spans="1:10" x14ac:dyDescent="0.25">
      <c r="A41" s="21" t="s">
        <v>12</v>
      </c>
      <c r="B41" s="21">
        <v>9</v>
      </c>
      <c r="C41" s="21">
        <v>32</v>
      </c>
      <c r="D41" s="21">
        <v>1</v>
      </c>
      <c r="E41" s="21">
        <v>3.3572503339776603</v>
      </c>
      <c r="F41" s="21">
        <v>31.71729018095057</v>
      </c>
      <c r="G41" s="21">
        <v>9.7472488124216028</v>
      </c>
      <c r="H41" s="21">
        <f t="shared" si="0"/>
        <v>0.36583401410878402</v>
      </c>
      <c r="I41" s="21">
        <f>0.2965*HPLC_raw_data!F41+0.1312</f>
        <v>9.5353765386518425</v>
      </c>
      <c r="J41" s="21">
        <f>0.2817*HPLC_raw_data!G41-0.2894</f>
        <v>2.4563999904591656</v>
      </c>
    </row>
    <row r="42" spans="1:10" x14ac:dyDescent="0.25">
      <c r="A42" s="27" t="s">
        <v>12</v>
      </c>
      <c r="B42" s="27">
        <v>9</v>
      </c>
      <c r="C42" s="27">
        <v>32</v>
      </c>
      <c r="D42" s="27">
        <v>2</v>
      </c>
      <c r="E42" s="27">
        <v>23.662308525421693</v>
      </c>
      <c r="F42" s="27">
        <v>25.597579429696964</v>
      </c>
      <c r="G42" s="27">
        <v>16.358188978222472</v>
      </c>
      <c r="H42" s="27">
        <f t="shared" si="0"/>
        <v>2.7435563283268802</v>
      </c>
      <c r="I42" s="27">
        <f>0.2965*HPLC_raw_data!F42+0.1312</f>
        <v>7.7208823009051493</v>
      </c>
      <c r="J42" s="27">
        <f>0.2817*HPLC_raw_data!G42-0.2894</f>
        <v>4.3187018351652711</v>
      </c>
    </row>
    <row r="43" spans="1:10" x14ac:dyDescent="0.25">
      <c r="A43" s="21" t="s">
        <v>6</v>
      </c>
      <c r="B43" s="21">
        <v>11</v>
      </c>
      <c r="C43" s="21">
        <v>43</v>
      </c>
      <c r="D43" s="21">
        <v>1</v>
      </c>
      <c r="E43" s="21">
        <v>16.892246928430026</v>
      </c>
      <c r="F43" s="21">
        <v>87.525673051725349</v>
      </c>
      <c r="G43" s="21">
        <v>7.1961870281096338</v>
      </c>
      <c r="H43" s="21">
        <f t="shared" si="0"/>
        <v>1.9507821153191558</v>
      </c>
      <c r="I43" s="21">
        <f>0.2965*HPLC_raw_data!F43+0.1312</f>
        <v>26.082562059836565</v>
      </c>
      <c r="J43" s="21">
        <f>0.2817*HPLC_raw_data!G43-0.2894</f>
        <v>1.7377658858184839</v>
      </c>
    </row>
    <row r="44" spans="1:10" x14ac:dyDescent="0.25">
      <c r="A44" s="27" t="s">
        <v>6</v>
      </c>
      <c r="B44" s="27">
        <v>11</v>
      </c>
      <c r="C44" s="27">
        <v>43</v>
      </c>
      <c r="D44" s="27">
        <v>2</v>
      </c>
      <c r="E44" s="27">
        <v>19.52085278572018</v>
      </c>
      <c r="F44" s="27">
        <v>86.755412720723115</v>
      </c>
      <c r="G44" s="27">
        <v>7.0741939872368391</v>
      </c>
      <c r="H44" s="27">
        <f t="shared" si="0"/>
        <v>2.2585918612078331</v>
      </c>
      <c r="I44" s="27">
        <f>0.2965*HPLC_raw_data!F44+0.1312</f>
        <v>25.854179871694402</v>
      </c>
      <c r="J44" s="27">
        <f>0.2817*HPLC_raw_data!G44-0.2894</f>
        <v>1.7034004462046175</v>
      </c>
    </row>
    <row r="45" spans="1:10" x14ac:dyDescent="0.25">
      <c r="A45" s="21" t="s">
        <v>11</v>
      </c>
      <c r="B45" s="21">
        <v>11</v>
      </c>
      <c r="C45" s="21">
        <v>43</v>
      </c>
      <c r="D45" s="21">
        <v>1</v>
      </c>
      <c r="E45" s="21">
        <v>17.887384500755388</v>
      </c>
      <c r="F45" s="21">
        <v>89.68767609320625</v>
      </c>
      <c r="G45" s="21">
        <v>0</v>
      </c>
      <c r="H45" s="21">
        <f t="shared" si="0"/>
        <v>2.0673127250384562</v>
      </c>
      <c r="I45" s="21">
        <f>0.2965*HPLC_raw_data!F45+0.1312</f>
        <v>26.723595961635652</v>
      </c>
      <c r="J45" s="21">
        <f>0.2817*HPLC_raw_data!G45-0.2894</f>
        <v>-0.28939999999999999</v>
      </c>
    </row>
    <row r="46" spans="1:10" x14ac:dyDescent="0.25">
      <c r="A46" s="27" t="s">
        <v>11</v>
      </c>
      <c r="B46" s="27">
        <v>11</v>
      </c>
      <c r="C46" s="27">
        <v>43</v>
      </c>
      <c r="D46" s="27">
        <v>2</v>
      </c>
      <c r="E46" s="27">
        <v>18.29241136964157</v>
      </c>
      <c r="F46" s="27">
        <v>90.734507617999981</v>
      </c>
      <c r="G46" s="27">
        <v>0</v>
      </c>
      <c r="H46" s="27">
        <f t="shared" si="0"/>
        <v>2.114741371385028</v>
      </c>
      <c r="I46" s="27">
        <f>0.2965*HPLC_raw_data!F46+0.1312</f>
        <v>27.033981508736993</v>
      </c>
      <c r="J46" s="27">
        <f>0.2817*HPLC_raw_data!G46-0.2894</f>
        <v>-0.28939999999999999</v>
      </c>
    </row>
    <row r="47" spans="1:10" x14ac:dyDescent="0.25">
      <c r="A47" s="21" t="s">
        <v>12</v>
      </c>
      <c r="B47" s="21">
        <v>11</v>
      </c>
      <c r="C47" s="21">
        <v>43</v>
      </c>
      <c r="D47" s="21">
        <v>1</v>
      </c>
      <c r="E47" s="21">
        <v>3.7618462459330146</v>
      </c>
      <c r="F47" s="21">
        <v>34.948508939334587</v>
      </c>
      <c r="G47" s="21">
        <v>11.946688121630253</v>
      </c>
      <c r="H47" s="21">
        <f t="shared" si="0"/>
        <v>0.41321219539875603</v>
      </c>
      <c r="I47" s="21">
        <f>0.2965*HPLC_raw_data!F47+0.1312</f>
        <v>10.493432900512705</v>
      </c>
      <c r="J47" s="21">
        <f>0.2817*HPLC_raw_data!G47-0.2894</f>
        <v>3.0759820438632421</v>
      </c>
    </row>
    <row r="48" spans="1:10" x14ac:dyDescent="0.25">
      <c r="A48" s="27" t="s">
        <v>12</v>
      </c>
      <c r="B48" s="27">
        <v>11</v>
      </c>
      <c r="C48" s="27">
        <v>43</v>
      </c>
      <c r="D48" s="27">
        <v>2</v>
      </c>
      <c r="E48" s="27">
        <v>43.501574519090923</v>
      </c>
      <c r="F48" s="27">
        <v>20.901042047093021</v>
      </c>
      <c r="G48" s="27">
        <v>23.747004820990092</v>
      </c>
      <c r="H48" s="27">
        <f t="shared" si="0"/>
        <v>5.0667343761855461</v>
      </c>
      <c r="I48" s="27">
        <f>0.2965*HPLC_raw_data!F48+0.1312</f>
        <v>6.32835896696308</v>
      </c>
      <c r="J48" s="27">
        <f>0.2817*HPLC_raw_data!G48-0.2894</f>
        <v>6.4001312580729097</v>
      </c>
    </row>
    <row r="49" spans="1:10" x14ac:dyDescent="0.25">
      <c r="A49" s="21" t="s">
        <v>12</v>
      </c>
      <c r="B49" s="21">
        <v>13</v>
      </c>
      <c r="C49" s="21">
        <v>47</v>
      </c>
      <c r="D49" s="21">
        <v>1</v>
      </c>
      <c r="E49" s="21">
        <v>0</v>
      </c>
      <c r="F49" s="21">
        <v>50.283156109738314</v>
      </c>
      <c r="G49" s="21">
        <v>7.8943470617200546</v>
      </c>
      <c r="H49" s="21">
        <f t="shared" si="0"/>
        <v>-2.7300000000000001E-2</v>
      </c>
      <c r="I49" s="21">
        <f>0.2965*HPLC_raw_data!F49+0.1312</f>
        <v>15.04015578653741</v>
      </c>
      <c r="J49" s="21">
        <f>0.2817*HPLC_raw_data!G49-0.2894</f>
        <v>1.9344375672865395</v>
      </c>
    </row>
    <row r="50" spans="1:10" x14ac:dyDescent="0.25">
      <c r="A50" s="21" t="s">
        <v>6</v>
      </c>
      <c r="B50" s="21">
        <v>14</v>
      </c>
      <c r="C50" s="21">
        <v>49</v>
      </c>
      <c r="D50" s="21">
        <v>1</v>
      </c>
      <c r="E50" s="21">
        <v>25.938360416562489</v>
      </c>
      <c r="F50" s="21">
        <v>69.585882912053563</v>
      </c>
      <c r="G50" s="21">
        <v>0</v>
      </c>
      <c r="H50" s="21">
        <f t="shared" si="0"/>
        <v>3.0100820047794676</v>
      </c>
      <c r="I50" s="21">
        <f>0.2965*HPLC_raw_data!F50+0.1312</f>
        <v>20.763414283423881</v>
      </c>
      <c r="J50" s="21">
        <f>0.2817*HPLC_raw_data!G50-0.2894</f>
        <v>-0.28939999999999999</v>
      </c>
    </row>
    <row r="51" spans="1:10" x14ac:dyDescent="0.25">
      <c r="A51" s="27" t="s">
        <v>6</v>
      </c>
      <c r="B51" s="27">
        <v>14</v>
      </c>
      <c r="C51" s="27">
        <v>49</v>
      </c>
      <c r="D51" s="27">
        <v>2</v>
      </c>
      <c r="E51" s="27">
        <v>31.930980891766566</v>
      </c>
      <c r="F51" s="27">
        <v>108.4716249403215</v>
      </c>
      <c r="G51" s="27">
        <v>0</v>
      </c>
      <c r="H51" s="27">
        <f t="shared" si="0"/>
        <v>3.7118178624258649</v>
      </c>
      <c r="I51" s="27">
        <f>0.2965*HPLC_raw_data!F51+0.1312</f>
        <v>32.293036794805325</v>
      </c>
      <c r="J51" s="27">
        <f>0.2817*HPLC_raw_data!G51-0.2894</f>
        <v>-0.28939999999999999</v>
      </c>
    </row>
    <row r="52" spans="1:10" x14ac:dyDescent="0.25">
      <c r="A52" s="21" t="s">
        <v>11</v>
      </c>
      <c r="B52" s="21">
        <v>14</v>
      </c>
      <c r="C52" s="21">
        <v>49</v>
      </c>
      <c r="D52" s="21">
        <v>1</v>
      </c>
      <c r="E52" s="21">
        <v>31.492927861125395</v>
      </c>
      <c r="F52" s="21">
        <v>112.79405930918783</v>
      </c>
      <c r="G52" s="21">
        <v>0</v>
      </c>
      <c r="H52" s="21">
        <f t="shared" si="0"/>
        <v>3.6605218525377836</v>
      </c>
      <c r="I52" s="21">
        <f>0.2965*HPLC_raw_data!F52+0.1312</f>
        <v>33.574638585174192</v>
      </c>
      <c r="J52" s="21">
        <f>0.2817*HPLC_raw_data!G52-0.2894</f>
        <v>-0.28939999999999999</v>
      </c>
    </row>
    <row r="53" spans="1:10" x14ac:dyDescent="0.25">
      <c r="A53" s="27" t="s">
        <v>11</v>
      </c>
      <c r="B53" s="27">
        <v>14</v>
      </c>
      <c r="C53" s="27">
        <v>49</v>
      </c>
      <c r="D53" s="27">
        <v>2</v>
      </c>
      <c r="E53" s="27">
        <v>29.442403077412109</v>
      </c>
      <c r="F53" s="27">
        <v>96.50653369715738</v>
      </c>
      <c r="G53" s="27">
        <v>0</v>
      </c>
      <c r="H53" s="27">
        <f t="shared" si="0"/>
        <v>3.4204054003649578</v>
      </c>
      <c r="I53" s="27">
        <f>0.2965*HPLC_raw_data!F53+0.1312</f>
        <v>28.745387241207162</v>
      </c>
      <c r="J53" s="27">
        <f>0.2817*HPLC_raw_data!G53-0.2894</f>
        <v>-0.28939999999999999</v>
      </c>
    </row>
    <row r="54" spans="1:10" x14ac:dyDescent="0.25">
      <c r="A54" s="21" t="s">
        <v>12</v>
      </c>
      <c r="B54" s="21">
        <v>14</v>
      </c>
      <c r="C54" s="21">
        <v>49</v>
      </c>
      <c r="D54" s="21">
        <v>1</v>
      </c>
      <c r="E54" s="21">
        <v>0.7192844077022329</v>
      </c>
      <c r="F54" s="21">
        <v>21.553668341379307</v>
      </c>
      <c r="G54" s="21">
        <v>25.928627643759071</v>
      </c>
      <c r="H54" s="21">
        <f t="shared" si="0"/>
        <v>5.6928204141931463E-2</v>
      </c>
      <c r="I54" s="21">
        <f>0.2965*HPLC_raw_data!F54+0.1312</f>
        <v>6.5218626632189638</v>
      </c>
      <c r="J54" s="21">
        <f>0.2817*HPLC_raw_data!G54-0.2894</f>
        <v>7.0146944072469308</v>
      </c>
    </row>
    <row r="55" spans="1:10" x14ac:dyDescent="0.25">
      <c r="A55" s="27" t="s">
        <v>12</v>
      </c>
      <c r="B55" s="27">
        <v>14</v>
      </c>
      <c r="C55" s="27">
        <v>49</v>
      </c>
      <c r="D55" s="27">
        <v>2</v>
      </c>
      <c r="E55" s="27">
        <v>0</v>
      </c>
      <c r="F55" s="27">
        <v>29.279321818229931</v>
      </c>
      <c r="G55" s="27">
        <v>6.4181220552173919</v>
      </c>
      <c r="H55" s="27">
        <f t="shared" si="0"/>
        <v>-2.7300000000000001E-2</v>
      </c>
      <c r="I55" s="27">
        <f>0.2965*HPLC_raw_data!F55+0.1312</f>
        <v>8.8125189191051732</v>
      </c>
      <c r="J55" s="27">
        <f>0.2817*HPLC_raw_data!G55-0.2894</f>
        <v>1.5185849829547395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40FBC-A26F-42CA-842B-D719F574F7DF}">
  <dimension ref="A1:F11"/>
  <sheetViews>
    <sheetView workbookViewId="0"/>
  </sheetViews>
  <sheetFormatPr defaultRowHeight="15" x14ac:dyDescent="0.25"/>
  <cols>
    <col min="1" max="6" width="20.7109375" customWidth="1"/>
  </cols>
  <sheetData>
    <row r="1" spans="1:6" x14ac:dyDescent="0.25">
      <c r="A1" s="18" t="s">
        <v>36</v>
      </c>
    </row>
    <row r="2" spans="1:6" x14ac:dyDescent="0.25">
      <c r="A2" s="20" t="s">
        <v>34</v>
      </c>
    </row>
    <row r="3" spans="1:6" x14ac:dyDescent="0.25">
      <c r="A3" s="18" t="s">
        <v>30</v>
      </c>
    </row>
    <row r="5" spans="1:6" x14ac:dyDescent="0.25">
      <c r="A5" s="24" t="s">
        <v>0</v>
      </c>
      <c r="B5" s="25"/>
      <c r="C5" s="24" t="s">
        <v>1</v>
      </c>
      <c r="D5" s="25"/>
      <c r="E5" s="24" t="s">
        <v>2</v>
      </c>
      <c r="F5" s="25"/>
    </row>
    <row r="6" spans="1:6" x14ac:dyDescent="0.25">
      <c r="A6" s="26" t="s">
        <v>3</v>
      </c>
      <c r="B6" s="26" t="s">
        <v>14</v>
      </c>
      <c r="C6" s="26" t="s">
        <v>3</v>
      </c>
      <c r="D6" s="26" t="s">
        <v>14</v>
      </c>
      <c r="E6" s="26" t="s">
        <v>3</v>
      </c>
      <c r="F6" s="26" t="s">
        <v>14</v>
      </c>
    </row>
    <row r="7" spans="1:6" x14ac:dyDescent="0.25">
      <c r="A7" s="22">
        <v>94.920527724586464</v>
      </c>
      <c r="B7" s="22">
        <v>11.101243339253998</v>
      </c>
      <c r="C7" s="22">
        <v>112.13002060330827</v>
      </c>
      <c r="D7" s="22">
        <v>33.304469459801503</v>
      </c>
      <c r="E7" s="22">
        <v>177.96980944701326</v>
      </c>
      <c r="F7" s="22">
        <v>50</v>
      </c>
    </row>
    <row r="8" spans="1:6" x14ac:dyDescent="0.25">
      <c r="A8" s="22">
        <v>47.933581486367721</v>
      </c>
      <c r="B8" s="22">
        <v>5.5506216696269988</v>
      </c>
      <c r="C8" s="22">
        <v>55.094252885402661</v>
      </c>
      <c r="D8" s="22">
        <v>16.652234729900751</v>
      </c>
      <c r="E8" s="22">
        <v>90.79735033840079</v>
      </c>
      <c r="F8" s="22">
        <v>25</v>
      </c>
    </row>
    <row r="9" spans="1:6" x14ac:dyDescent="0.25">
      <c r="A9" s="22">
        <v>23.999020940475926</v>
      </c>
      <c r="B9" s="22">
        <v>2.7753108348134994</v>
      </c>
      <c r="C9" s="22">
        <v>27.654695925276929</v>
      </c>
      <c r="D9" s="22">
        <v>8.3261173649503757</v>
      </c>
      <c r="E9" s="22">
        <v>45.825925895588938</v>
      </c>
      <c r="F9" s="22">
        <v>12.5</v>
      </c>
    </row>
    <row r="10" spans="1:6" x14ac:dyDescent="0.25">
      <c r="A10" s="22">
        <v>12.030456392840053</v>
      </c>
      <c r="B10" s="22">
        <v>1.3876554174067497</v>
      </c>
      <c r="C10" s="22">
        <v>13.875431201290933</v>
      </c>
      <c r="D10" s="22">
        <v>4.1630586824751878</v>
      </c>
      <c r="E10" s="22">
        <v>22.995765009528053</v>
      </c>
      <c r="F10" s="22">
        <v>6.25</v>
      </c>
    </row>
    <row r="11" spans="1:6" x14ac:dyDescent="0.25">
      <c r="A11" s="22">
        <v>6.0143776534138969</v>
      </c>
      <c r="B11" s="22">
        <v>0.69382770870337485</v>
      </c>
      <c r="C11" s="22">
        <v>6.9176437281059391</v>
      </c>
      <c r="D11" s="22">
        <v>2.1647905148870978</v>
      </c>
      <c r="E11" s="22">
        <v>11.472613181136612</v>
      </c>
      <c r="F11" s="22">
        <v>3.13</v>
      </c>
    </row>
  </sheetData>
  <mergeCells count="3">
    <mergeCell ref="A5:B5"/>
    <mergeCell ref="C5:D5"/>
    <mergeCell ref="E5:F5"/>
  </mergeCells>
  <pageMargins left="0.7" right="0.7" top="0.75" bottom="0.75" header="0.3" footer="0.3"/>
  <drawing r:id="rId1"/>
</worksheet>
</file>

<file path=docMetadata/LabelInfo.xml><?xml version="1.0" encoding="utf-8"?>
<clbl:labelList xmlns:clbl="http://schemas.microsoft.com/office/2020/mipLabelMetadata">
  <clbl:label id="{ed5b36e7-01ee-4ebc-867e-e03cfa0d4697}" enabled="0" method="" siteId="{ed5b36e7-01ee-4ebc-867e-e03cfa0d469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OD_parallele_tubes</vt:lpstr>
      <vt:lpstr>SCFA_parallel_tubes_HPLC</vt:lpstr>
      <vt:lpstr>HPLC_raw_data</vt:lpstr>
      <vt:lpstr>HPLC_Standards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Guron, Giselle - REE-ARS</dc:creator>
  <cp:lastModifiedBy>Alexis Ignacio Torres Miranda</cp:lastModifiedBy>
  <dcterms:created xsi:type="dcterms:W3CDTF">2026-04-13T17:14:23Z</dcterms:created>
  <dcterms:modified xsi:type="dcterms:W3CDTF">2026-05-19T15:48:40Z</dcterms:modified>
</cp:coreProperties>
</file>